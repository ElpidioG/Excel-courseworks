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defaultThemeVersion="164011"/>
  <mc:AlternateContent xmlns:mc="http://schemas.openxmlformats.org/markup-compatibility/2006">
    <mc:Choice Requires="x15">
      <x15ac:absPath xmlns:x15ac="http://schemas.microsoft.com/office/spreadsheetml/2010/11/ac" url="C:\Users\CALAB-A04\Downloads\"/>
    </mc:Choice>
  </mc:AlternateContent>
  <bookViews>
    <workbookView xWindow="0" yWindow="0" windowWidth="28800" windowHeight="12300" activeTab="1"/>
  </bookViews>
  <sheets>
    <sheet name="Data Validation" sheetId="2" r:id="rId1"/>
    <sheet name="Rango de Datos" sheetId="1" r:id="rId2"/>
    <sheet name="PT1" sheetId="3" r:id="rId3"/>
    <sheet name="PT2" sheetId="4" r:id="rId4"/>
    <sheet name="PT3" sheetId="5" r:id="rId5"/>
  </sheets>
  <definedNames>
    <definedName name="_xlnm._FilterDatabase" localSheetId="1" hidden="1">'Rango de Datos'!$A$1:$G$63</definedName>
    <definedName name="SegmentaciónDeDatos_Fecha">#N/A</definedName>
    <definedName name="SegmentaciónDeDatos_Marca_Celular">#N/A</definedName>
    <definedName name="SegmentaciónDeDatos_Operador">#N/A</definedName>
    <definedName name="SegmentaciónDeDatos_País">#N/A</definedName>
  </definedNames>
  <calcPr calcId="144525"/>
  <pivotCaches>
    <pivotCache cacheId="1"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<sst xmlns="http://schemas.openxmlformats.org/spreadsheetml/2006/main" count="247" uniqueCount="31">
  <si>
    <t>No. Factura</t>
  </si>
  <si>
    <t>Fecha</t>
  </si>
  <si>
    <t>País</t>
  </si>
  <si>
    <t>Operador</t>
  </si>
  <si>
    <t>Marca Celular</t>
  </si>
  <si>
    <t>Cantidad</t>
  </si>
  <si>
    <t>Precio</t>
  </si>
  <si>
    <t>Venezuela</t>
  </si>
  <si>
    <t>Claro</t>
  </si>
  <si>
    <t>Iphone</t>
  </si>
  <si>
    <t>Brasil</t>
  </si>
  <si>
    <t>Viva</t>
  </si>
  <si>
    <t>Motorola</t>
  </si>
  <si>
    <t>Francia</t>
  </si>
  <si>
    <t>Sony</t>
  </si>
  <si>
    <t>USA</t>
  </si>
  <si>
    <t>Telcel</t>
  </si>
  <si>
    <t>Huawei</t>
  </si>
  <si>
    <t>UK</t>
  </si>
  <si>
    <t>Altice</t>
  </si>
  <si>
    <t>LG</t>
  </si>
  <si>
    <t>Alemania</t>
  </si>
  <si>
    <t>Argentina</t>
  </si>
  <si>
    <t>Suiza</t>
  </si>
  <si>
    <t>Samsung</t>
  </si>
  <si>
    <t>T-Mobile</t>
  </si>
  <si>
    <t>Formulario</t>
  </si>
  <si>
    <t>Nuevo Registro</t>
  </si>
  <si>
    <t>Suma de Cantidad</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</si>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</sst>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
    <numFmt numFmtId="165" formatCode="&quot;$&quot;#,##0.00"/>
    <numFmt numFmtId="166" formatCode="00000"/>
  </numFmts>
  <fonts count="5" x14ac:knownFonts="1">
    <font>
      <sz val="11"/>
      <color theme="1"/>
      <name val="Calibri"/>
      <family val="2"/>
      <scheme val="minor"/>
    </font>
    <font>
      <b/>
      <sz val="11"/>
      <name val="Calibri"/>
      <family val="2"/>
      <scheme val="minor"/>
    </font>
    <font>
      <b/>
      <sz val="11"/>
      <color theme="0"/>
      <name val="Calibri"/>
      <family val="2"/>
      <scheme val="minor"/>
    </font>
    <font>
      <sz val="11"/>
      <color theme="0"/>
      <name val="Calibri"/>
      <family val="2"/>
      <scheme val="minor"/>
    </font>
    <font>
      <sz val="11"/>
      <name val="Calibri"/>
      <family val="2"/>
      <scheme val="minor"/>
    </font>
  </fonts>
  <fills count="4">
    <fill>
      <patternFill patternType="none"/>
    </fill>
    <fill>
      <patternFill patternType="gray125"/>
    </fill>
    <fill>
      <patternFill patternType="solid">
        <fgColor theme="1"/>
        <bgColor indexed="64"/>
      </patternFill>
    </fill>
    <fill>
      <patternFill patternType="solid">
        <fgColor theme="4"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6">
    <xf numFmtId="0" fontId="0" fillId="0" borderId="0" xfId="0"/>
    <xf numFmtId="0" fontId="0" fillId="0" borderId="1" xfId="0" applyBorder="1"/>
    <xf numFmtId="166" fontId="0" fillId="0" borderId="1" xfId="0" applyNumberFormat="1" applyBorder="1"/>
    <xf numFmtId="164" fontId="0" fillId="0" borderId="1" xfId="0" applyNumberFormat="1" applyBorder="1"/>
    <xf numFmtId="165" fontId="0" fillId="0" borderId="1" xfId="0" applyNumberFormat="1" applyBorder="1"/>
    <xf numFmtId="166" fontId="0" fillId="0" borderId="0" xfId="0" applyNumberFormat="1" applyBorder="1"/>
    <xf numFmtId="164" fontId="0" fillId="0" borderId="0" xfId="0" applyNumberFormat="1" applyBorder="1"/>
    <xf numFmtId="0" fontId="0" fillId="0" borderId="0" xfId="0" applyBorder="1"/>
    <xf numFmtId="165" fontId="0" fillId="0" borderId="0" xfId="0" applyNumberFormat="1" applyBorder="1"/>
    <xf numFmtId="0" fontId="0" fillId="0" borderId="0" xfId="0" applyFont="1" applyFill="1" applyBorder="1"/>
    <xf numFmtId="164" fontId="0" fillId="0" borderId="0" xfId="0" applyNumberFormat="1" applyFont="1" applyFill="1" applyBorder="1"/>
    <xf numFmtId="165" fontId="0" fillId="0" borderId="0" xfId="0" applyNumberFormat="1" applyFont="1" applyFill="1" applyBorder="1"/>
    <xf numFmtId="0" fontId="0" fillId="0" borderId="0" xfId="0" applyNumberFormat="1"/>
    <xf numFmtId="0" fontId="0" fillId="0" borderId="0" xfId="0" applyAlignment="1">
      <alignment horizontal="left"/>
    </xf>
    <xf numFmtId="164" fontId="0" fillId="0" borderId="0" xfId="0" applyNumberFormat="1" applyAlignment="1">
      <alignment horizontal="left"/>
    </xf>
    <xf numFmtId="0" fontId="2" fillId="2" borderId="0" xfId="0" applyFont="1" applyFill="1" applyBorder="1"/>
    <xf numFmtId="164" fontId="2" fillId="2" borderId="0" xfId="0" applyNumberFormat="1" applyFont="1" applyFill="1" applyBorder="1"/>
    <xf numFmtId="0" fontId="4" fillId="0" borderId="0" xfId="0" applyFont="1"/>
    <xf numFmtId="0" fontId="3" fillId="2" borderId="1" xfId="0" applyFont="1" applyFill="1" applyBorder="1"/>
    <xf numFmtId="0" fontId="3" fillId="2" borderId="0" xfId="0" applyFont="1" applyFill="1"/>
    <xf numFmtId="0" fontId="3" fillId="2" borderId="0" xfId="0" applyFont="1" applyFill="1" applyAlignment="1">
      <alignment horizontal="left"/>
    </xf>
    <xf numFmtId="0" fontId="3" fillId="2" borderId="0" xfId="0" applyNumberFormat="1" applyFont="1" applyFill="1"/>
    <xf numFmtId="164" fontId="3" fillId="2" borderId="0" xfId="0" applyNumberFormat="1" applyFont="1" applyFill="1" applyAlignment="1">
      <alignment horizontal="left"/>
    </xf>
    <xf numFmtId="0" fontId="1" fillId="3" borderId="1" xfId="0" applyFont="1" applyFill="1" applyBorder="1"/>
    <xf numFmtId="164" fontId="1" fillId="3" borderId="1" xfId="0" applyNumberFormat="1" applyFont="1" applyFill="1" applyBorder="1"/>
    <xf numFmtId="0" fontId="0" fillId="0" borderId="1" xfId="0" applyBorder="1" applyAlignment="1">
      <alignment horizontal="center"/>
    </xf>
  </cellXfs>
  <cellStyles count="1">
    <cellStyle name="Normal" xfId="0" builtinId="0"/>
  </cellStyles>
  <dxfs count="279">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color theme="0"/>
      </font>
    </dxf>
    <dxf>
      <font>
        <color theme="0"/>
      </font>
    </dxf>
    <dxf>
      <fill>
        <patternFill patternType="solid">
          <bgColor theme="1"/>
        </patternFill>
      </fill>
    </dxf>
    <dxf>
      <fill>
        <patternFill patternType="solid">
          <bgColor theme="1"/>
        </patternFill>
      </fill>
    </dxf>
    <dxf>
      <font>
        <color theme="0"/>
      </font>
    </dxf>
    <dxf>
      <font>
        <color theme="0"/>
      </font>
    </dxf>
    <dxf>
      <font>
        <color theme="0"/>
      </font>
    </dxf>
    <dxf>
      <fill>
        <patternFill patternType="solid">
          <bgColor theme="1"/>
        </patternFill>
      </fill>
    </dxf>
    <dxf>
      <fill>
        <patternFill patternType="solid">
          <bgColor theme="1"/>
        </patternFill>
      </fill>
    </dxf>
    <dxf>
      <fill>
        <patternFill patternType="solid">
          <bgColor theme="1"/>
        </patternFill>
      </fill>
    </dxf>
    <dxf>
      <font>
        <b val="0"/>
        <i val="0"/>
        <strike val="0"/>
        <condense val="0"/>
        <extend val="0"/>
        <outline val="0"/>
        <shadow val="0"/>
        <u val="none"/>
        <vertAlign val="baseline"/>
        <sz val="11"/>
        <color theme="1"/>
        <name val="Calibri"/>
        <scheme val="minor"/>
      </font>
      <numFmt numFmtId="165" formatCode="&quot;$&quot;#,##0.00"/>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164" formatCode="[$-409]d\-mmm\-yy;@"/>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theme="0"/>
        <name val="Calibri"/>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[Práctica Final ADR marquez.xlsm]PT3!Tabla dinámica3</c:name>
    <c:fmtId val="0"/>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'PT3'!$B$1</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'PT3'!$A$2:$A$8</c:f>
              <c:strCache>
                <c:ptCount val="6"/>
                <c:pt idx="0">
                  <c:v>Huawei</c:v>
                </c:pt>
                <c:pt idx="1">
                  <c:v>Iphone</c:v>
                </c:pt>
                <c:pt idx="2">
                  <c:v>LG</c:v>
                </c:pt>
                <c:pt idx="3">
                  <c:v>Motorola</c:v>
                </c:pt>
                <c:pt idx="4">
                  <c:v>Samsung</c:v>
                </c:pt>
                <c:pt idx="5">
                  <c:v>Sony</c:v>
                </c:pt>
              </c:strCache>
            </c:strRef>
          </c:cat>
          <c:val>
            <c:numRef>
              <c:f>'PT3'!$B$2:$B$8</c:f>
              <c:numCache>
                <c:formatCode>General</c:formatCode>
                <c:ptCount val="6"/>
                <c:pt idx="0">
                  <c:v>34543</c:v>
                </c:pt>
                <c:pt idx="1">
                  <c:v>23744</c:v>
                </c:pt>
                <c:pt idx="2">
                  <c:v>22964</c:v>
                </c:pt>
                <c:pt idx="3">
                  <c:v>17140</c:v>
                </c:pt>
                <c:pt idx="4">
                  <c:v>25963</c:v>
                </c:pt>
                <c:pt idx="5">
                  <c:v>23076</c:v>
                </c:pt>
              </c:numCache>
            </c:numRef>
          </c:val>
          <c:extLst>
            <c:ext xmlns:c16="http://schemas.microsoft.com/office/drawing/2014/chart" uri="{C3380CC4-5D6E-409C-BE32-E72D297353CC}">
              <c16:uniqueId val="{00000000-3C78-4FE7-AE19-134A38E12FE1}"/>
            </c:ext>
          </c:extLst>
        </c:ser>
        <c:dLbls>
          <c:dLblPos val="outEnd"/>
          <c:showLegendKey val="0"/>
          <c:showVal val="1"/>
          <c:showCatName val="0"/>
          <c:showSerName val="0"/>
          <c:showPercent val="0"/>
          <c:showBubbleSize val="0"/>
        </c:dLbls>
        <c:gapWidth val="115"/>
        <c:overlap val="-20"/>
        <c:axId val="188773888"/>
        <c:axId val="188775424"/>
      </c:barChart>
      <c:catAx>
        <c:axId val="188773888"/>
        <c:scaling>
          <c:orientation val="minMax"/>
        </c:scaling>
        <c:delete val="0"/>
        <c:axPos val="l"/>
        <c:numFmt formatCode="General" sourceLinked="0"/>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775424"/>
        <c:crosses val="autoZero"/>
        <c:auto val="1"/>
        <c:lblAlgn val="ctr"/>
        <c:lblOffset val="100"/>
        <c:noMultiLvlLbl val="0"/>
      </c:catAx>
      <c:valAx>
        <c:axId val="1887754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887738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[Práctica Final ADR marquez.xlsm]PT1!Tabla dinámica1</c:name>
    <c:fmtId val="3"/>
  </c:pivotSource>
  <c:chart>
    <c:title>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6"/>
            </a:solidFill>
            <a:miter lim="800000"/>
          </a:ln>
          <a:effectLst>
            <a:glow rad="63500">
              <a:schemeClr val="accent6">
                <a:satMod val="175000"/>
                <a:alpha val="25000"/>
              </a:schemeClr>
            </a:glow>
          </a:effectLst>
        </c:spPr>
        <c:marker>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6"/>
            </a:solidFill>
            <a:miter lim="800000"/>
          </a:ln>
          <a:effectLst>
            <a:glow rad="63500">
              <a:schemeClr val="accent6">
                <a:satMod val="175000"/>
                <a:alpha val="25000"/>
              </a:schemeClr>
            </a:glow>
          </a:effectLst>
        </c:spPr>
        <c:marker>
          <c:symbol val="none"/>
        </c:marker>
      </c:pivotFmt>
      <c:pivotFmt>
        <c:idx val="6"/>
        <c:spPr>
          <a:noFill/>
          <a:ln w="9525" cap="flat" cmpd="sng" algn="ctr">
            <a:solidFill>
              <a:schemeClr val="accent6"/>
            </a:solidFill>
            <a:miter lim="800000"/>
          </a:ln>
          <a:effectLst>
            <a:glow rad="63500">
              <a:schemeClr val="accent6">
                <a:satMod val="175000"/>
                <a:alpha val="25000"/>
              </a:schemeClr>
            </a:glo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'PT1'!$B$1</c:f>
              <c:strCache>
                <c:ptCount val="1"/>
                <c:pt idx="0">
                  <c:v>Total</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50000"/>
                        </a:schemeClr>
                      </a:solidFill>
                      <a:round/>
                    </a:ln>
                    <a:effectLst/>
                  </c:spPr>
                </c15:leaderLines>
              </c:ext>
            </c:extLst>
          </c:dLbls>
          <c:cat>
            <c:strRef>
              <c:f>'PT1'!$A$2:$A$10</c:f>
              <c:strCache>
                <c:ptCount val="8"/>
                <c:pt idx="0">
                  <c:v>Alemania</c:v>
                </c:pt>
                <c:pt idx="1">
                  <c:v>Argentina</c:v>
                </c:pt>
                <c:pt idx="2">
                  <c:v>Brasil</c:v>
                </c:pt>
                <c:pt idx="3">
                  <c:v>Francia</c:v>
                </c:pt>
                <c:pt idx="4">
                  <c:v>Suiza</c:v>
                </c:pt>
                <c:pt idx="5">
                  <c:v>UK</c:v>
                </c:pt>
                <c:pt idx="6">
                  <c:v>USA</c:v>
                </c:pt>
                <c:pt idx="7">
                  <c:v>Venezuela</c:v>
                </c:pt>
              </c:strCache>
            </c:strRef>
          </c:cat>
          <c:val>
            <c:numRef>
              <c:f>'PT1'!$B$2:$B$10</c:f>
              <c:numCache>
                <c:formatCode>General</c:formatCode>
                <c:ptCount val="8"/>
                <c:pt idx="0">
                  <c:v>21180</c:v>
                </c:pt>
                <c:pt idx="1">
                  <c:v>18122</c:v>
                </c:pt>
                <c:pt idx="2">
                  <c:v>6857</c:v>
                </c:pt>
                <c:pt idx="3">
                  <c:v>36974</c:v>
                </c:pt>
                <c:pt idx="4">
                  <c:v>14666</c:v>
                </c:pt>
                <c:pt idx="5">
                  <c:v>12556</c:v>
                </c:pt>
                <c:pt idx="6">
                  <c:v>13862</c:v>
                </c:pt>
                <c:pt idx="7">
                  <c:v>23213</c:v>
                </c:pt>
              </c:numCache>
            </c:numRef>
          </c:val>
          <c:extLst>
            <c:ext xmlns:c16="http://schemas.microsoft.com/office/drawing/2014/chart" uri="{C3380CC4-5D6E-409C-BE32-E72D297353CC}">
              <c16:uniqueId val="{00000000-B442-47AF-983A-CFF97F1449B0}"/>
            </c:ext>
          </c:extLst>
        </c:ser>
        <c:dLbls>
          <c:dLblPos val="outEnd"/>
          <c:showLegendKey val="0"/>
          <c:showVal val="1"/>
          <c:showCatName val="0"/>
          <c:showSerName val="0"/>
          <c:showPercent val="0"/>
          <c:showBubbleSize val="0"/>
        </c:dLbls>
        <c:gapWidth val="315"/>
        <c:overlap val="-40"/>
        <c:axId val="188787712"/>
        <c:axId val="188809984"/>
      </c:barChart>
      <c:catAx>
        <c:axId val="18878771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8809984"/>
        <c:crosses val="autoZero"/>
        <c:auto val="1"/>
        <c:lblAlgn val="ctr"/>
        <c:lblOffset val="100"/>
        <c:noMultiLvlLbl val="0"/>
      </c:catAx>
      <c:valAx>
        <c:axId val="18880998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878771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[Práctica Final ADR marquez.xlsm]PT2!Tabla dinámica2</c:name>
    <c:fmtId val="2"/>
  </c:pivotSource>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'PT2'!$B$1</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982-4AB9-9B60-78508448525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982-4AB9-9B60-78508448525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982-4AB9-9B60-78508448525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982-4AB9-9B60-78508448525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982-4AB9-9B60-78508448525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5982-4AB9-9B60-78508448525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5982-4AB9-9B60-78508448525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5982-4AB9-9B60-78508448525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5982-4AB9-9B60-78508448525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5982-4AB9-9B60-78508448525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5982-4AB9-9B60-78508448525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5982-4AB9-9B60-78508448525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5982-4AB9-9B60-78508448525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'PT2'!$A$2:$A$15</c:f>
              <c:strCache>
                <c:ptCount val="13"/>
                <c:pt idx="0">
                  <c:v>23-Jul-10</c:v>
                </c:pt>
                <c:pt idx="1">
                  <c:v>31-Jul-10</c:v>
                </c:pt>
                <c:pt idx="2">
                  <c:v>20-Nov-10</c:v>
                </c:pt>
                <c:pt idx="3">
                  <c:v>25-Nov-10</c:v>
                </c:pt>
                <c:pt idx="4">
                  <c:v>2-Dec-10</c:v>
                </c:pt>
                <c:pt idx="5">
                  <c:v>16-Dec-10</c:v>
                </c:pt>
                <c:pt idx="6">
                  <c:v>9-Jan-11</c:v>
                </c:pt>
                <c:pt idx="7">
                  <c:v>10-Jan-11</c:v>
                </c:pt>
                <c:pt idx="8">
                  <c:v>3-Feb-11</c:v>
                </c:pt>
                <c:pt idx="9">
                  <c:v>3-Mar-11</c:v>
                </c:pt>
                <c:pt idx="10">
                  <c:v>16-May-11</c:v>
                </c:pt>
                <c:pt idx="11">
                  <c:v>4-Aug-18</c:v>
                </c:pt>
                <c:pt idx="12">
                  <c:v>8-Feb-12</c:v>
                </c:pt>
              </c:strCache>
            </c:strRef>
          </c:cat>
          <c:val>
            <c:numRef>
              <c:f>'PT2'!$B$2:$B$15</c:f>
              <c:numCache>
                <c:formatCode>General</c:formatCode>
                <c:ptCount val="13"/>
                <c:pt idx="0">
                  <c:v>16762</c:v>
                </c:pt>
                <c:pt idx="1">
                  <c:v>29188</c:v>
                </c:pt>
                <c:pt idx="2">
                  <c:v>17416</c:v>
                </c:pt>
                <c:pt idx="3">
                  <c:v>9346</c:v>
                </c:pt>
                <c:pt idx="4">
                  <c:v>15590</c:v>
                </c:pt>
                <c:pt idx="5">
                  <c:v>1531</c:v>
                </c:pt>
                <c:pt idx="6">
                  <c:v>6391</c:v>
                </c:pt>
                <c:pt idx="7">
                  <c:v>5214</c:v>
                </c:pt>
                <c:pt idx="8">
                  <c:v>4040</c:v>
                </c:pt>
                <c:pt idx="9">
                  <c:v>9721</c:v>
                </c:pt>
                <c:pt idx="10">
                  <c:v>13722</c:v>
                </c:pt>
                <c:pt idx="11">
                  <c:v>8989</c:v>
                </c:pt>
                <c:pt idx="12">
                  <c:v>9520</c:v>
                </c:pt>
              </c:numCache>
            </c:numRef>
          </c:val>
          <c:extLst>
            <c:ext xmlns:c16="http://schemas.microsoft.com/office/drawing/2014/chart" uri="{C3380CC4-5D6E-409C-BE32-E72D297353CC}">
              <c16:uniqueId val="{00000000-64D6-42B6-BCBB-98E4DBDA8634}"/>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590549</xdr:colOff>
      <xdr:row>7</xdr:row>
      <xdr:rowOff>28575</xdr:rowOff>
    </xdr:to>
    <xdr:sp macro="[0]!Guardar" textlink="">
      <xdr:nvSpPr>
        <xdr:cNvPr id="2" name="1 CuadroTexto"/>
        <xdr:cNvSpPr txBox="1"/>
      </xdr:nvSpPr>
      <xdr:spPr>
        <a:xfrm>
          <a:off x="10525125" y="571500"/>
          <a:ext cx="1771649" cy="790575"/>
        </a:xfrm>
        <a:prstGeom prst="rect">
          <a:avLst/>
        </a:prstGeom>
        <a:solidFill>
          <a:schemeClr val="tx1">
            <a:lumMod val="95000"/>
            <a:lumOff val="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cap="none" spc="0">
              <a:ln w="12700">
                <a:solidFill>
                  <a:schemeClr val="accent5"/>
                </a:solidFill>
                <a:prstDash val="solid"/>
              </a:ln>
              <a:pattFill prst="ltDnDiag">
                <a:fgClr>
                  <a:schemeClr val="accent5">
                    <a:lumMod val="60000"/>
                    <a:lumOff val="40000"/>
                  </a:schemeClr>
                </a:fgClr>
                <a:bgClr>
                  <a:schemeClr val="bg1"/>
                </a:bgClr>
              </a:pattFill>
              <a:effectLst/>
              <a:latin typeface="AR JULIAN" pitchFamily="2" charset="0"/>
            </a:rPr>
            <a:t>Guardar</a:t>
          </a:r>
          <a:endParaRPr lang="en-US" sz="2400">
            <a:latin typeface="AR JULIAN" pitchFamily="2" charset="0"/>
          </a:endParaRPr>
        </a:p>
      </xdr:txBody>
    </xdr:sp>
    <xdr:clientData/>
  </xdr:twoCellAnchor>
  <xdr:twoCellAnchor>
    <xdr:from>
      <xdr:col>12</xdr:col>
      <xdr:colOff>7470</xdr:colOff>
      <xdr:row>8</xdr:row>
      <xdr:rowOff>0</xdr:rowOff>
    </xdr:from>
    <xdr:to>
      <xdr:col>14</xdr:col>
      <xdr:colOff>590549</xdr:colOff>
      <xdr:row>13</xdr:row>
      <xdr:rowOff>19049</xdr:rowOff>
    </xdr:to>
    <xdr:sp macro="[0]!NuevoRegistro" textlink="">
      <xdr:nvSpPr>
        <xdr:cNvPr id="3" name="2 CuadroTexto"/>
        <xdr:cNvSpPr txBox="1"/>
      </xdr:nvSpPr>
      <xdr:spPr>
        <a:xfrm>
          <a:off x="10532595" y="1524000"/>
          <a:ext cx="1764179" cy="971549"/>
        </a:xfrm>
        <a:prstGeom prst="rect">
          <a:avLst/>
        </a:prstGeom>
        <a:solidFill>
          <a:schemeClr val="tx1">
            <a:lumMod val="95000"/>
            <a:lumOff val="5000"/>
          </a:schemeClr>
        </a:solidFill>
        <a:ln w="9525" cmpd="sng">
          <a:solidFill>
            <a:schemeClr val="lt1">
              <a:shade val="50000"/>
            </a:schemeClr>
          </a:solidFill>
        </a:ln>
        <a:effectLst>
          <a:outerShdw blurRad="50800" dist="38100" dir="2700000" algn="tl" rotWithShape="0">
            <a:prstClr val="black">
              <a:alpha val="40000"/>
            </a:prstClr>
          </a:outerShdw>
        </a:effectLst>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1" cap="none" spc="0">
              <a:ln w="12700">
                <a:solidFill>
                  <a:schemeClr val="accent5"/>
                </a:solidFill>
                <a:prstDash val="solid"/>
              </a:ln>
              <a:pattFill prst="ltDnDiag">
                <a:fgClr>
                  <a:schemeClr val="accent5">
                    <a:lumMod val="60000"/>
                    <a:lumOff val="40000"/>
                  </a:schemeClr>
                </a:fgClr>
                <a:bgClr>
                  <a:schemeClr val="bg1"/>
                </a:bgClr>
              </a:pattFill>
              <a:effectLst/>
              <a:latin typeface="AR JULIAN" pitchFamily="2" charset="0"/>
            </a:rPr>
            <a:t>Nuevo Registro</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8529</xdr:colOff>
      <xdr:row>0</xdr:row>
      <xdr:rowOff>0</xdr:rowOff>
    </xdr:from>
    <xdr:to>
      <xdr:col>29</xdr:col>
      <xdr:colOff>0</xdr:colOff>
      <xdr:row>15</xdr:row>
      <xdr:rowOff>0</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589473</xdr:colOff>
      <xdr:row>0</xdr:row>
      <xdr:rowOff>0</xdr:rowOff>
    </xdr:from>
    <xdr:to>
      <xdr:col>11</xdr:col>
      <xdr:colOff>10354</xdr:colOff>
      <xdr:row>15</xdr:row>
      <xdr:rowOff>0</xdr:rowOff>
    </xdr:to>
    <xdr:graphicFrame macro="">
      <xdr:nvGraphicFramePr>
        <xdr:cNvPr id="4" name="3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9794</xdr:colOff>
      <xdr:row>0</xdr:row>
      <xdr:rowOff>0</xdr:rowOff>
    </xdr:from>
    <xdr:to>
      <xdr:col>20</xdr:col>
      <xdr:colOff>10354</xdr:colOff>
      <xdr:row>15</xdr:row>
      <xdr:rowOff>1</xdr:rowOff>
    </xdr:to>
    <xdr:graphicFrame macro="">
      <xdr:nvGraphicFramePr>
        <xdr:cNvPr id="5" name="4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19963</xdr:colOff>
      <xdr:row>16</xdr:row>
      <xdr:rowOff>19464</xdr:rowOff>
    </xdr:from>
    <xdr:to>
      <xdr:col>8</xdr:col>
      <xdr:colOff>10024</xdr:colOff>
      <xdr:row>29</xdr:row>
      <xdr:rowOff>121755</xdr:rowOff>
    </xdr:to>
    <mc:AlternateContent xmlns:mc="http://schemas.openxmlformats.org/markup-compatibility/2006" xmlns:a14="http://schemas.microsoft.com/office/drawing/2010/main">
      <mc:Choice Requires="a14">
        <xdr:graphicFrame macro="">
          <xdr:nvGraphicFramePr>
            <xdr:cNvPr id="6" name="Fecha"/>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3798903" y="3001203"/>
              <a:ext cx="1760469" cy="25249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11349</xdr:colOff>
      <xdr:row>16</xdr:row>
      <xdr:rowOff>4638</xdr:rowOff>
    </xdr:from>
    <xdr:to>
      <xdr:col>14</xdr:col>
      <xdr:colOff>1408</xdr:colOff>
      <xdr:row>29</xdr:row>
      <xdr:rowOff>106929</xdr:rowOff>
    </xdr:to>
    <mc:AlternateContent xmlns:mc="http://schemas.openxmlformats.org/markup-compatibility/2006" xmlns:a14="http://schemas.microsoft.com/office/drawing/2010/main">
      <mc:Choice Requires="a14">
        <xdr:graphicFrame macro="">
          <xdr:nvGraphicFramePr>
            <xdr:cNvPr id="7" name="País"/>
            <xdr:cNvGraphicFramePr/>
          </xdr:nvGraphicFramePr>
          <xdr:xfrm>
            <a:off x="0" y="0"/>
            <a:ext cx="0" cy="0"/>
          </xdr:xfrm>
          <a:graphic>
            <a:graphicData uri="http://schemas.microsoft.com/office/drawing/2010/slicer">
              <sle:slicer xmlns:sle="http://schemas.microsoft.com/office/drawing/2010/slicer" name="País"/>
            </a:graphicData>
          </a:graphic>
        </xdr:graphicFrame>
      </mc:Choice>
      <mc:Fallback xmlns="">
        <xdr:sp macro="" textlink="">
          <xdr:nvSpPr>
            <xdr:cNvPr id="0" name=""/>
            <xdr:cNvSpPr>
              <a:spLocks noTextEdit="1"/>
            </xdr:cNvSpPr>
          </xdr:nvSpPr>
          <xdr:spPr>
            <a:xfrm>
              <a:off x="7331104" y="2986377"/>
              <a:ext cx="1760467" cy="25249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15157</xdr:colOff>
      <xdr:row>15</xdr:row>
      <xdr:rowOff>169959</xdr:rowOff>
    </xdr:from>
    <xdr:to>
      <xdr:col>21</xdr:col>
      <xdr:colOff>5219</xdr:colOff>
      <xdr:row>29</xdr:row>
      <xdr:rowOff>85891</xdr:rowOff>
    </xdr:to>
    <mc:AlternateContent xmlns:mc="http://schemas.openxmlformats.org/markup-compatibility/2006" xmlns:a14="http://schemas.microsoft.com/office/drawing/2010/main">
      <mc:Choice Requires="a14">
        <xdr:graphicFrame macro="">
          <xdr:nvGraphicFramePr>
            <xdr:cNvPr id="8" name="Operador"/>
            <xdr:cNvGraphicFramePr/>
          </xdr:nvGraphicFramePr>
          <xdr:xfrm>
            <a:off x="0" y="0"/>
            <a:ext cx="0" cy="0"/>
          </xdr:xfrm>
          <a:graphic>
            <a:graphicData uri="http://schemas.microsoft.com/office/drawing/2010/slicer">
              <sle:slicer xmlns:sle="http://schemas.microsoft.com/office/drawing/2010/slicer" name="Operador"/>
            </a:graphicData>
          </a:graphic>
        </xdr:graphicFrame>
      </mc:Choice>
      <mc:Fallback xmlns="">
        <xdr:sp macro="" textlink="">
          <xdr:nvSpPr>
            <xdr:cNvPr id="0" name=""/>
            <xdr:cNvSpPr>
              <a:spLocks noTextEdit="1"/>
            </xdr:cNvSpPr>
          </xdr:nvSpPr>
          <xdr:spPr>
            <a:xfrm>
              <a:off x="11465864" y="2965339"/>
              <a:ext cx="1760469" cy="25249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2402</xdr:colOff>
      <xdr:row>16</xdr:row>
      <xdr:rowOff>1904</xdr:rowOff>
    </xdr:from>
    <xdr:to>
      <xdr:col>26</xdr:col>
      <xdr:colOff>582599</xdr:colOff>
      <xdr:row>29</xdr:row>
      <xdr:rowOff>104195</xdr:rowOff>
    </xdr:to>
    <mc:AlternateContent xmlns:mc="http://schemas.openxmlformats.org/markup-compatibility/2006" xmlns:a14="http://schemas.microsoft.com/office/drawing/2010/main">
      <mc:Choice Requires="a14">
        <xdr:graphicFrame macro="">
          <xdr:nvGraphicFramePr>
            <xdr:cNvPr id="9" name="Marca Celular"/>
            <xdr:cNvGraphicFramePr/>
          </xdr:nvGraphicFramePr>
          <xdr:xfrm>
            <a:off x="0" y="0"/>
            <a:ext cx="0" cy="0"/>
          </xdr:xfrm>
          <a:graphic>
            <a:graphicData uri="http://schemas.microsoft.com/office/drawing/2010/slicer">
              <sle:slicer xmlns:sle="http://schemas.microsoft.com/office/drawing/2010/slicer" name="Marca Celular"/>
            </a:graphicData>
          </a:graphic>
        </xdr:graphicFrame>
      </mc:Choice>
      <mc:Fallback xmlns="">
        <xdr:sp macro="" textlink="">
          <xdr:nvSpPr>
            <xdr:cNvPr id="0" name=""/>
            <xdr:cNvSpPr>
              <a:spLocks noTextEdit="1"/>
            </xdr:cNvSpPr>
          </xdr:nvSpPr>
          <xdr:spPr>
            <a:xfrm>
              <a:off x="14993924" y="2983643"/>
              <a:ext cx="1760468" cy="25249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Kira" refreshedDate="43873.771524421296" createdVersion="4" refreshedVersion="4" minRefreshableVersion="3" recordCount="62">
  <cacheSource type="worksheet">
    <worksheetSource name="Tabla2"/>
  </cacheSource>
  <cacheFields count="7">
    <cacheField name="No. Factura" numFmtId="0">
      <sharedItems containsSemiMixedTypes="0" containsString="0" containsNumber="1" containsInteger="1" minValue="1" maxValue="8887"/>
    </cacheField>
    <cacheField name="Fecha" numFmtId="164">
      <sharedItems containsSemiMixedTypes="0" containsNonDate="0" containsDate="1" containsString="0" minDate="2010-07-23T00:00:00" maxDate="2312-02-09T00:00:00" count="13">
        <d v="2018-08-04T00:00:00"/>
        <d v="2312-02-08T00:00:00"/>
        <d v="2010-07-23T00:00:00"/>
        <d v="2011-01-09T00:00:00"/>
        <d v="2011-01-10T00:00:00"/>
        <d v="2010-07-31T00:00:00"/>
        <d v="2011-03-03T00:00:00"/>
        <d v="2011-02-03T00:00:00"/>
        <d v="2011-05-16T00:00:00"/>
        <d v="2010-11-20T00:00:00"/>
        <d v="2010-11-25T00:00:00"/>
        <d v="2010-12-02T00:00:00"/>
        <d v="2010-12-16T00:00:00"/>
      </sharedItems>
    </cacheField>
    <cacheField name="País" numFmtId="0">
      <sharedItems count="8">
        <s v="Argentina"/>
        <s v="Suiza"/>
        <s v="Venezuela"/>
        <s v="Brasil"/>
        <s v="Francia"/>
        <s v="USA"/>
        <s v="UK"/>
        <s v="Alemania"/>
      </sharedItems>
    </cacheField>
    <cacheField name="Operador" numFmtId="0">
      <sharedItems count="5">
        <s v="Telcel"/>
        <s v="T-Mobile"/>
        <s v="Claro"/>
        <s v="Viva"/>
        <s v="Altice"/>
      </sharedItems>
    </cacheField>
    <cacheField name="Marca Celular" numFmtId="0">
      <sharedItems count="6">
        <s v="LG"/>
        <s v="Iphone"/>
        <s v="Motorola"/>
        <s v="Sony"/>
        <s v="Samsung"/>
        <s v="Huawei"/>
      </sharedItems>
    </cacheField>
    <cacheField name="Cantidad" numFmtId="0">
      <sharedItems containsSemiMixedTypes="0" containsString="0" containsNumber="1" containsInteger="1" minValue="250" maxValue="9650"/>
    </cacheField>
    <cacheField name="Precio" numFmtId="165">
      <sharedItems containsSemiMixedTypes="0" containsString="0" containsNumber="1" containsInteger="1" minValue="8500" maxValue="787989"/>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2">
  <r>
    <n v="8887"/>
    <x v="0"/>
    <x v="0"/>
    <x v="0"/>
    <x v="0"/>
    <n v="8989"/>
    <n v="787989"/>
  </r>
  <r>
    <n v="989"/>
    <x v="1"/>
    <x v="1"/>
    <x v="1"/>
    <x v="0"/>
    <n v="9520"/>
    <n v="150000"/>
  </r>
  <r>
    <n v="160"/>
    <x v="2"/>
    <x v="2"/>
    <x v="2"/>
    <x v="1"/>
    <n v="4220"/>
    <n v="32000"/>
  </r>
  <r>
    <n v="25"/>
    <x v="3"/>
    <x v="3"/>
    <x v="3"/>
    <x v="2"/>
    <n v="3526"/>
    <n v="26000"/>
  </r>
  <r>
    <n v="131"/>
    <x v="2"/>
    <x v="4"/>
    <x v="3"/>
    <x v="3"/>
    <n v="4212"/>
    <n v="12000"/>
  </r>
  <r>
    <n v="111"/>
    <x v="4"/>
    <x v="5"/>
    <x v="0"/>
    <x v="4"/>
    <n v="875"/>
    <n v="26500"/>
  </r>
  <r>
    <n v="4"/>
    <x v="5"/>
    <x v="4"/>
    <x v="1"/>
    <x v="5"/>
    <n v="9650"/>
    <n v="27100"/>
  </r>
  <r>
    <n v="13"/>
    <x v="6"/>
    <x v="6"/>
    <x v="4"/>
    <x v="0"/>
    <n v="250"/>
    <n v="18900"/>
  </r>
  <r>
    <n v="18"/>
    <x v="5"/>
    <x v="5"/>
    <x v="2"/>
    <x v="3"/>
    <n v="1932"/>
    <n v="24200"/>
  </r>
  <r>
    <n v="42"/>
    <x v="7"/>
    <x v="7"/>
    <x v="4"/>
    <x v="4"/>
    <n v="2020"/>
    <n v="17400"/>
  </r>
  <r>
    <n v="55"/>
    <x v="8"/>
    <x v="3"/>
    <x v="0"/>
    <x v="5"/>
    <n v="654"/>
    <n v="8500"/>
  </r>
  <r>
    <n v="58"/>
    <x v="9"/>
    <x v="7"/>
    <x v="2"/>
    <x v="1"/>
    <n v="748"/>
    <n v="14210"/>
  </r>
  <r>
    <n v="61"/>
    <x v="3"/>
    <x v="2"/>
    <x v="2"/>
    <x v="2"/>
    <n v="421"/>
    <n v="10260"/>
  </r>
  <r>
    <n v="74"/>
    <x v="10"/>
    <x v="7"/>
    <x v="1"/>
    <x v="4"/>
    <n v="3333"/>
    <n v="11000"/>
  </r>
  <r>
    <n v="128"/>
    <x v="4"/>
    <x v="5"/>
    <x v="3"/>
    <x v="1"/>
    <n v="3214"/>
    <n v="12000"/>
  </r>
  <r>
    <n v="88"/>
    <x v="11"/>
    <x v="0"/>
    <x v="2"/>
    <x v="0"/>
    <n v="2023"/>
    <n v="26500"/>
  </r>
  <r>
    <n v="90"/>
    <x v="8"/>
    <x v="5"/>
    <x v="1"/>
    <x v="3"/>
    <n v="323"/>
    <n v="27100"/>
  </r>
  <r>
    <n v="91"/>
    <x v="11"/>
    <x v="2"/>
    <x v="4"/>
    <x v="1"/>
    <n v="4212"/>
    <n v="18900"/>
  </r>
  <r>
    <n v="93"/>
    <x v="11"/>
    <x v="4"/>
    <x v="3"/>
    <x v="4"/>
    <n v="875"/>
    <n v="24200"/>
  </r>
  <r>
    <n v="97"/>
    <x v="8"/>
    <x v="2"/>
    <x v="4"/>
    <x v="5"/>
    <n v="9650"/>
    <n v="17400"/>
  </r>
  <r>
    <n v="105"/>
    <x v="5"/>
    <x v="7"/>
    <x v="2"/>
    <x v="3"/>
    <n v="250"/>
    <n v="8500"/>
  </r>
  <r>
    <n v="109"/>
    <x v="11"/>
    <x v="1"/>
    <x v="3"/>
    <x v="4"/>
    <n v="1932"/>
    <n v="14210"/>
  </r>
  <r>
    <n v="1"/>
    <x v="6"/>
    <x v="4"/>
    <x v="3"/>
    <x v="1"/>
    <n v="2020"/>
    <n v="10260"/>
  </r>
  <r>
    <n v="112"/>
    <x v="9"/>
    <x v="7"/>
    <x v="4"/>
    <x v="5"/>
    <n v="1932"/>
    <n v="11000"/>
  </r>
  <r>
    <n v="126"/>
    <x v="9"/>
    <x v="6"/>
    <x v="3"/>
    <x v="2"/>
    <n v="2020"/>
    <n v="32000"/>
  </r>
  <r>
    <n v="36"/>
    <x v="2"/>
    <x v="4"/>
    <x v="2"/>
    <x v="3"/>
    <n v="250"/>
    <n v="26000"/>
  </r>
  <r>
    <n v="34"/>
    <x v="10"/>
    <x v="4"/>
    <x v="2"/>
    <x v="4"/>
    <n v="1932"/>
    <n v="12000"/>
  </r>
  <r>
    <n v="142"/>
    <x v="5"/>
    <x v="5"/>
    <x v="0"/>
    <x v="1"/>
    <n v="2020"/>
    <n v="26500"/>
  </r>
  <r>
    <n v="156"/>
    <x v="6"/>
    <x v="0"/>
    <x v="4"/>
    <x v="2"/>
    <n v="654"/>
    <n v="27100"/>
  </r>
  <r>
    <n v="79"/>
    <x v="9"/>
    <x v="6"/>
    <x v="1"/>
    <x v="3"/>
    <n v="748"/>
    <n v="18900"/>
  </r>
  <r>
    <n v="181"/>
    <x v="12"/>
    <x v="7"/>
    <x v="2"/>
    <x v="2"/>
    <n v="421"/>
    <n v="24200"/>
  </r>
  <r>
    <n v="201"/>
    <x v="9"/>
    <x v="6"/>
    <x v="4"/>
    <x v="4"/>
    <n v="3333"/>
    <n v="27400"/>
  </r>
  <r>
    <n v="160"/>
    <x v="2"/>
    <x v="2"/>
    <x v="2"/>
    <x v="1"/>
    <n v="3214"/>
    <n v="32000"/>
  </r>
  <r>
    <n v="25"/>
    <x v="3"/>
    <x v="3"/>
    <x v="3"/>
    <x v="2"/>
    <n v="2023"/>
    <n v="10260"/>
  </r>
  <r>
    <n v="131"/>
    <x v="2"/>
    <x v="4"/>
    <x v="3"/>
    <x v="3"/>
    <n v="4212"/>
    <n v="11000"/>
  </r>
  <r>
    <n v="111"/>
    <x v="4"/>
    <x v="5"/>
    <x v="0"/>
    <x v="4"/>
    <n v="875"/>
    <n v="12000"/>
  </r>
  <r>
    <n v="4"/>
    <x v="5"/>
    <x v="4"/>
    <x v="1"/>
    <x v="5"/>
    <n v="9650"/>
    <n v="26500"/>
  </r>
  <r>
    <n v="13"/>
    <x v="6"/>
    <x v="6"/>
    <x v="4"/>
    <x v="0"/>
    <n v="250"/>
    <n v="27100"/>
  </r>
  <r>
    <n v="18"/>
    <x v="5"/>
    <x v="5"/>
    <x v="2"/>
    <x v="3"/>
    <n v="1932"/>
    <n v="18900"/>
  </r>
  <r>
    <n v="42"/>
    <x v="7"/>
    <x v="7"/>
    <x v="4"/>
    <x v="4"/>
    <n v="2020"/>
    <n v="24200"/>
  </r>
  <r>
    <n v="55"/>
    <x v="8"/>
    <x v="3"/>
    <x v="0"/>
    <x v="5"/>
    <n v="654"/>
    <n v="17400"/>
  </r>
  <r>
    <n v="58"/>
    <x v="9"/>
    <x v="7"/>
    <x v="2"/>
    <x v="1"/>
    <n v="748"/>
    <n v="14210"/>
  </r>
  <r>
    <n v="61"/>
    <x v="3"/>
    <x v="2"/>
    <x v="2"/>
    <x v="2"/>
    <n v="421"/>
    <n v="10260"/>
  </r>
  <r>
    <n v="74"/>
    <x v="10"/>
    <x v="7"/>
    <x v="1"/>
    <x v="4"/>
    <n v="3333"/>
    <n v="10260"/>
  </r>
  <r>
    <n v="128"/>
    <x v="4"/>
    <x v="5"/>
    <x v="3"/>
    <x v="1"/>
    <n v="250"/>
    <n v="11000"/>
  </r>
  <r>
    <n v="88"/>
    <x v="11"/>
    <x v="0"/>
    <x v="2"/>
    <x v="0"/>
    <n v="1932"/>
    <n v="12000"/>
  </r>
  <r>
    <n v="90"/>
    <x v="8"/>
    <x v="5"/>
    <x v="1"/>
    <x v="3"/>
    <n v="2020"/>
    <n v="26500"/>
  </r>
  <r>
    <n v="91"/>
    <x v="11"/>
    <x v="2"/>
    <x v="4"/>
    <x v="1"/>
    <n v="654"/>
    <n v="27100"/>
  </r>
  <r>
    <n v="93"/>
    <x v="11"/>
    <x v="4"/>
    <x v="3"/>
    <x v="4"/>
    <n v="748"/>
    <n v="18900"/>
  </r>
  <r>
    <n v="97"/>
    <x v="8"/>
    <x v="2"/>
    <x v="4"/>
    <x v="5"/>
    <n v="421"/>
    <n v="24200"/>
  </r>
  <r>
    <n v="105"/>
    <x v="5"/>
    <x v="7"/>
    <x v="2"/>
    <x v="3"/>
    <n v="3333"/>
    <n v="17400"/>
  </r>
  <r>
    <n v="109"/>
    <x v="11"/>
    <x v="1"/>
    <x v="3"/>
    <x v="4"/>
    <n v="3214"/>
    <n v="14210"/>
  </r>
  <r>
    <n v="1"/>
    <x v="6"/>
    <x v="4"/>
    <x v="3"/>
    <x v="1"/>
    <n v="2023"/>
    <n v="10260"/>
  </r>
  <r>
    <n v="112"/>
    <x v="9"/>
    <x v="7"/>
    <x v="4"/>
    <x v="5"/>
    <n v="1932"/>
    <n v="11000"/>
  </r>
  <r>
    <n v="126"/>
    <x v="9"/>
    <x v="6"/>
    <x v="3"/>
    <x v="2"/>
    <n v="2020"/>
    <n v="32000"/>
  </r>
  <r>
    <n v="36"/>
    <x v="2"/>
    <x v="4"/>
    <x v="2"/>
    <x v="3"/>
    <n v="654"/>
    <n v="26000"/>
  </r>
  <r>
    <n v="34"/>
    <x v="10"/>
    <x v="4"/>
    <x v="2"/>
    <x v="4"/>
    <n v="748"/>
    <n v="12000"/>
  </r>
  <r>
    <n v="142"/>
    <x v="5"/>
    <x v="5"/>
    <x v="0"/>
    <x v="1"/>
    <n v="421"/>
    <n v="26500"/>
  </r>
  <r>
    <n v="156"/>
    <x v="6"/>
    <x v="0"/>
    <x v="4"/>
    <x v="2"/>
    <n v="4524"/>
    <n v="27100"/>
  </r>
  <r>
    <n v="79"/>
    <x v="9"/>
    <x v="6"/>
    <x v="1"/>
    <x v="3"/>
    <n v="3210"/>
    <n v="18900"/>
  </r>
  <r>
    <n v="181"/>
    <x v="12"/>
    <x v="7"/>
    <x v="2"/>
    <x v="2"/>
    <n v="1110"/>
    <n v="24200"/>
  </r>
  <r>
    <n v="201"/>
    <x v="9"/>
    <x v="6"/>
    <x v="4"/>
    <x v="4"/>
    <n v="725"/>
    <n v="274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1" cacheId="1"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4">
  <location ref="A1:B10" firstHeaderRow="1" firstDataRow="1" firstDataCol="1"/>
  <pivotFields count="7">
    <pivotField showAll="0"/>
    <pivotField numFmtId="164" showAll="0">
      <items count="14">
        <item x="2"/>
        <item x="5"/>
        <item x="9"/>
        <item x="10"/>
        <item x="11"/>
        <item x="12"/>
        <item x="3"/>
        <item x="4"/>
        <item x="7"/>
        <item x="6"/>
        <item x="8"/>
        <item x="0"/>
        <item x="1"/>
        <item t="default"/>
      </items>
    </pivotField>
    <pivotField axis="axisRow" showAll="0">
      <items count="9">
        <item x="7"/>
        <item x="0"/>
        <item x="3"/>
        <item x="4"/>
        <item x="1"/>
        <item x="6"/>
        <item x="5"/>
        <item x="2"/>
        <item t="default"/>
      </items>
    </pivotField>
    <pivotField showAll="0">
      <items count="6">
        <item x="4"/>
        <item x="2"/>
        <item x="0"/>
        <item x="1"/>
        <item x="3"/>
        <item t="default"/>
      </items>
    </pivotField>
    <pivotField showAll="0">
      <items count="7">
        <item x="5"/>
        <item x="1"/>
        <item x="0"/>
        <item x="2"/>
        <item x="4"/>
        <item x="3"/>
        <item t="default"/>
      </items>
    </pivotField>
    <pivotField dataField="1" showAll="0"/>
    <pivotField numFmtId="165" showAll="0"/>
  </pivotFields>
  <rowFields count="1">
    <field x="2"/>
  </rowFields>
  <rowItems count="9">
    <i>
      <x/>
    </i>
    <i>
      <x v="1"/>
    </i>
    <i>
      <x v="2"/>
    </i>
    <i>
      <x v="3"/>
    </i>
    <i>
      <x v="4"/>
    </i>
    <i>
      <x v="5"/>
    </i>
    <i>
      <x v="6"/>
    </i>
    <i>
      <x v="7"/>
    </i>
    <i t="grand">
      <x/>
    </i>
  </rowItems>
  <colItems count="1">
    <i/>
  </colItems>
  <dataFields count="1">
    <dataField name="Suma de Cantidad" fld="5" baseField="0" baseItem="0"/>
  </dataFields>
  <formats count="10">
    <format dxfId="269">
      <pivotArea field="2" type="button" dataOnly="0" labelOnly="1" outline="0" axis="axisRow" fieldPosition="0"/>
    </format>
    <format dxfId="268">
      <pivotArea dataOnly="0" labelOnly="1" outline="0" axis="axisValues" fieldPosition="0"/>
    </format>
    <format dxfId="267">
      <pivotArea dataOnly="0" labelOnly="1" outline="0" axis="axisValues" fieldPosition="0"/>
    </format>
    <format dxfId="266">
      <pivotArea field="2" type="button" dataOnly="0" labelOnly="1" outline="0" axis="axisRow" fieldPosition="0"/>
    </format>
    <format dxfId="265">
      <pivotArea dataOnly="0" labelOnly="1" outline="0" axis="axisValues" fieldPosition="0"/>
    </format>
    <format dxfId="264">
      <pivotArea dataOnly="0" labelOnly="1" outline="0" axis="axisValues" fieldPosition="0"/>
    </format>
    <format dxfId="263">
      <pivotArea grandRow="1" outline="0" collapsedLevelsAreSubtotals="1" fieldPosition="0"/>
    </format>
    <format dxfId="262">
      <pivotArea dataOnly="0" labelOnly="1" grandRow="1" outline="0" fieldPosition="0"/>
    </format>
    <format dxfId="261">
      <pivotArea grandRow="1" outline="0" collapsedLevelsAreSubtotals="1" fieldPosition="0"/>
    </format>
    <format dxfId="260">
      <pivotArea dataOnly="0" labelOnly="1" grandRow="1" outline="0" fieldPosition="0"/>
    </format>
  </formats>
  <chartFormats count="2">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3">
  <location ref="A1:B15" firstHeaderRow="1" firstDataRow="1" firstDataCol="1"/>
  <pivotFields count="7">
    <pivotField showAll="0"/>
    <pivotField axis="axisRow" numFmtId="164" showAll="0">
      <items count="14">
        <item x="2"/>
        <item x="5"/>
        <item x="9"/>
        <item x="10"/>
        <item x="11"/>
        <item x="12"/>
        <item x="3"/>
        <item x="4"/>
        <item x="7"/>
        <item x="6"/>
        <item x="8"/>
        <item x="0"/>
        <item x="1"/>
        <item t="default"/>
      </items>
    </pivotField>
    <pivotField showAll="0">
      <items count="9">
        <item x="7"/>
        <item x="0"/>
        <item x="3"/>
        <item x="4"/>
        <item x="1"/>
        <item x="6"/>
        <item x="5"/>
        <item x="2"/>
        <item t="default"/>
      </items>
    </pivotField>
    <pivotField showAll="0">
      <items count="6">
        <item x="4"/>
        <item x="2"/>
        <item x="0"/>
        <item x="1"/>
        <item x="3"/>
        <item t="default"/>
      </items>
    </pivotField>
    <pivotField showAll="0">
      <items count="7">
        <item x="5"/>
        <item x="1"/>
        <item x="0"/>
        <item x="2"/>
        <item x="4"/>
        <item x="3"/>
        <item t="default"/>
      </items>
    </pivotField>
    <pivotField dataField="1" showAll="0"/>
    <pivotField numFmtId="165" showAll="0"/>
  </pivotFields>
  <rowFields count="1">
    <field x="1"/>
  </rowFields>
  <rowItems count="14">
    <i>
      <x/>
    </i>
    <i>
      <x v="1"/>
    </i>
    <i>
      <x v="2"/>
    </i>
    <i>
      <x v="3"/>
    </i>
    <i>
      <x v="4"/>
    </i>
    <i>
      <x v="5"/>
    </i>
    <i>
      <x v="6"/>
    </i>
    <i>
      <x v="7"/>
    </i>
    <i>
      <x v="8"/>
    </i>
    <i>
      <x v="9"/>
    </i>
    <i>
      <x v="10"/>
    </i>
    <i>
      <x v="11"/>
    </i>
    <i>
      <x v="12"/>
    </i>
    <i t="grand">
      <x/>
    </i>
  </rowItems>
  <colItems count="1">
    <i/>
  </colItems>
  <dataFields count="1">
    <dataField name="Suma de Cantidad" fld="5" baseField="0" baseItem="0"/>
  </dataFields>
  <formats count="10">
    <format dxfId="259">
      <pivotArea field="1" type="button" dataOnly="0" labelOnly="1" outline="0" axis="axisRow" fieldPosition="0"/>
    </format>
    <format dxfId="258">
      <pivotArea dataOnly="0" labelOnly="1" outline="0" axis="axisValues" fieldPosition="0"/>
    </format>
    <format dxfId="257">
      <pivotArea dataOnly="0" labelOnly="1" outline="0" axis="axisValues" fieldPosition="0"/>
    </format>
    <format dxfId="256">
      <pivotArea field="1" type="button" dataOnly="0" labelOnly="1" outline="0" axis="axisRow" fieldPosition="0"/>
    </format>
    <format dxfId="255">
      <pivotArea dataOnly="0" labelOnly="1" outline="0" axis="axisValues" fieldPosition="0"/>
    </format>
    <format dxfId="254">
      <pivotArea dataOnly="0" labelOnly="1" outline="0" axis="axisValues" fieldPosition="0"/>
    </format>
    <format dxfId="253">
      <pivotArea grandRow="1" outline="0" collapsedLevelsAreSubtotals="1" fieldPosition="0"/>
    </format>
    <format dxfId="252">
      <pivotArea dataOnly="0" labelOnly="1" grandRow="1" outline="0" fieldPosition="0"/>
    </format>
    <format dxfId="251">
      <pivotArea grandRow="1" outline="0" collapsedLevelsAreSubtotals="1" fieldPosition="0"/>
    </format>
    <format dxfId="250">
      <pivotArea dataOnly="0" labelOnly="1" grandRow="1" outline="0"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6" minRefreshableVersion="3" useAutoFormatting="1" itemPrintTitles="1" createdVersion="4" indent="0" outline="1" outlineData="1" multipleFieldFilters="0" chartFormat="1">
  <location ref="A1:B8" firstHeaderRow="1" firstDataRow="1" firstDataCol="1"/>
  <pivotFields count="7">
    <pivotField showAll="0"/>
    <pivotField numFmtId="164" showAll="0">
      <items count="14">
        <item x="2"/>
        <item x="5"/>
        <item x="9"/>
        <item x="10"/>
        <item x="11"/>
        <item x="12"/>
        <item x="3"/>
        <item x="4"/>
        <item x="7"/>
        <item x="6"/>
        <item x="8"/>
        <item x="0"/>
        <item x="1"/>
        <item t="default"/>
      </items>
    </pivotField>
    <pivotField showAll="0">
      <items count="9">
        <item x="7"/>
        <item x="0"/>
        <item x="3"/>
        <item x="4"/>
        <item x="1"/>
        <item x="6"/>
        <item x="5"/>
        <item x="2"/>
        <item t="default"/>
      </items>
    </pivotField>
    <pivotField showAll="0">
      <items count="6">
        <item x="4"/>
        <item x="2"/>
        <item x="0"/>
        <item x="1"/>
        <item x="3"/>
        <item t="default"/>
      </items>
    </pivotField>
    <pivotField axis="axisRow" showAll="0">
      <items count="7">
        <item x="5"/>
        <item x="1"/>
        <item x="0"/>
        <item x="2"/>
        <item x="4"/>
        <item x="3"/>
        <item t="default"/>
      </items>
    </pivotField>
    <pivotField dataField="1" showAll="0"/>
    <pivotField numFmtId="165" showAll="0"/>
  </pivotFields>
  <rowFields count="1">
    <field x="4"/>
  </rowFields>
  <rowItems count="7">
    <i>
      <x/>
    </i>
    <i>
      <x v="1"/>
    </i>
    <i>
      <x v="2"/>
    </i>
    <i>
      <x v="3"/>
    </i>
    <i>
      <x v="4"/>
    </i>
    <i>
      <x v="5"/>
    </i>
    <i t="grand">
      <x/>
    </i>
  </rowItems>
  <colItems count="1">
    <i/>
  </colItems>
  <dataFields count="1">
    <dataField name="Suma de Cantidad" fld="5" baseField="0" baseItem="0"/>
  </dataFields>
  <formats count="10">
    <format dxfId="249">
      <pivotArea field="4" type="button" dataOnly="0" labelOnly="1" outline="0" axis="axisRow" fieldPosition="0"/>
    </format>
    <format dxfId="248">
      <pivotArea dataOnly="0" labelOnly="1" outline="0" axis="axisValues" fieldPosition="0"/>
    </format>
    <format dxfId="247">
      <pivotArea dataOnly="0" labelOnly="1" outline="0" axis="axisValues" fieldPosition="0"/>
    </format>
    <format dxfId="246">
      <pivotArea field="4" type="button" dataOnly="0" labelOnly="1" outline="0" axis="axisRow" fieldPosition="0"/>
    </format>
    <format dxfId="245">
      <pivotArea dataOnly="0" labelOnly="1" outline="0" axis="axisValues" fieldPosition="0"/>
    </format>
    <format dxfId="244">
      <pivotArea dataOnly="0" labelOnly="1" outline="0" axis="axisValues" fieldPosition="0"/>
    </format>
    <format dxfId="243">
      <pivotArea grandRow="1" outline="0" collapsedLevelsAreSubtotals="1" fieldPosition="0"/>
    </format>
    <format dxfId="242">
      <pivotArea dataOnly="0" labelOnly="1" grandRow="1" outline="0" fieldPosition="0"/>
    </format>
    <format dxfId="241">
      <pivotArea grandRow="1" outline="0" collapsedLevelsAreSubtotals="1" fieldPosition="0"/>
    </format>
    <format dxfId="240">
      <pivotArea dataOnly="0" labelOnly="1" grandRow="1" outline="0"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3" name="Tabla dinámica1"/>
    <pivotTable tabId="4" name="Tabla dinámica2"/>
    <pivotTable tabId="5" name="Tabla dinámica3"/>
  </pivotTables>
  <data>
    <tabular pivotCacheId="1">
      <items count="13">
        <i x="2" s="1"/>
        <i x="5" s="1"/>
        <i x="9" s="1"/>
        <i x="10" s="1"/>
        <i x="11" s="1"/>
        <i x="12" s="1"/>
        <i x="3" s="1"/>
        <i x="4" s="1"/>
        <i x="7" s="1"/>
        <i x="6" s="1"/>
        <i x="8"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País" sourceName="País">
  <pivotTables>
    <pivotTable tabId="3" name="Tabla dinámica1"/>
    <pivotTable tabId="4" name="Tabla dinámica2"/>
    <pivotTable tabId="5" name="Tabla dinámica3"/>
  </pivotTables>
  <data>
    <tabular pivotCacheId="1">
      <items count="8">
        <i x="7" s="1"/>
        <i x="0" s="1"/>
        <i x="3" s="1"/>
        <i x="4" s="1"/>
        <i x="1" s="1"/>
        <i x="6" s="1"/>
        <i x="5"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Operador" sourceName="Operador">
  <pivotTables>
    <pivotTable tabId="3" name="Tabla dinámica1"/>
    <pivotTable tabId="4" name="Tabla dinámica2"/>
    <pivotTable tabId="5" name="Tabla dinámica3"/>
  </pivotTables>
  <data>
    <tabular pivotCacheId="1">
      <items count="5">
        <i x="4" s="1"/>
        <i x="2" s="1"/>
        <i x="0" s="1"/>
        <i x="1"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Marca_Celular" sourceName="Marca Celular">
  <pivotTables>
    <pivotTable tabId="3" name="Tabla dinámica1"/>
    <pivotTable tabId="4" name="Tabla dinámica2"/>
    <pivotTable tabId="5" name="Tabla dinámica3"/>
  </pivotTables>
  <data>
    <tabular pivotCacheId="1">
      <items count="6">
        <i x="5" s="1"/>
        <i x="1" s="1"/>
        <i x="0" s="1"/>
        <i x="2"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echa" cache="SegmentaciónDeDatos_Fecha" caption="Fecha" rowHeight="234950"/>
  <slicer name="País" cache="SegmentaciónDeDatos_País" caption="País" rowHeight="234950"/>
  <slicer name="Operador" cache="SegmentaciónDeDatos_Operador" caption="Operador" rowHeight="234950"/>
  <slicer name="Marca Celular" cache="SegmentaciónDeDatos_Marca_Celular" caption="Marca Celular" rowHeight="234950"/>
</slicers>
</file>

<file path=xl/tables/table1.xml><?xml version="1.0" encoding="utf-8"?>
<table xmlns="http://schemas.openxmlformats.org/spreadsheetml/2006/main" id="2" name="Tabla2" displayName="Tabla2" ref="A1:G63" totalsRowShown="0" headerRowDxfId="278" dataDxfId="277">
  <autoFilter ref="A1:G63"/>
  <tableColumns count="7">
    <tableColumn id="1" name="No. Factura" dataDxfId="276"/>
    <tableColumn id="2" name="Fecha" dataDxfId="275"/>
    <tableColumn id="3" name="País" dataDxfId="274"/>
    <tableColumn id="4" name="Operador" dataDxfId="273"/>
    <tableColumn id="5" name="Marca Celular" dataDxfId="272"/>
    <tableColumn id="6" name="Cantidad" dataDxfId="271"/>
    <tableColumn id="7" name="Precio" dataDxfId="27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B1:D9"/>
  <sheetViews>
    <sheetView workbookViewId="0">
      <selection activeCell="K24" sqref="K24"/>
    </sheetView>
  </sheetViews>
  <sheetFormatPr defaultColWidth="8.85546875" defaultRowHeight="15" x14ac:dyDescent="0.25"/>
  <cols>
    <col min="2" max="2" width="21.140625" customWidth="1"/>
    <col min="3" max="3" width="20.140625" customWidth="1"/>
    <col min="4" max="4" width="20.28515625" customWidth="1"/>
  </cols>
  <sheetData>
    <row r="1" spans="2:4" x14ac:dyDescent="0.25">
      <c r="B1" s="18" t="s">
        <v>2</v>
      </c>
      <c r="C1" s="18" t="s">
        <v>3</v>
      </c>
      <c r="D1" s="18" t="s">
        <v>4</v>
      </c>
    </row>
    <row r="2" spans="2:4" x14ac:dyDescent="0.25">
      <c r="B2" t="s">
        <v>21</v>
      </c>
      <c r="C2" t="s">
        <v>19</v>
      </c>
      <c r="D2" t="s">
        <v>17</v>
      </c>
    </row>
    <row r="3" spans="2:4" x14ac:dyDescent="0.25">
      <c r="B3" t="s">
        <v>22</v>
      </c>
      <c r="C3" t="s">
        <v>8</v>
      </c>
      <c r="D3" t="s">
        <v>9</v>
      </c>
    </row>
    <row r="4" spans="2:4" x14ac:dyDescent="0.25">
      <c r="B4" t="s">
        <v>10</v>
      </c>
      <c r="C4" t="s">
        <v>16</v>
      </c>
      <c r="D4" t="s">
        <v>20</v>
      </c>
    </row>
    <row r="5" spans="2:4" x14ac:dyDescent="0.25">
      <c r="B5" t="s">
        <v>13</v>
      </c>
      <c r="C5" t="s">
        <v>25</v>
      </c>
      <c r="D5" t="s">
        <v>12</v>
      </c>
    </row>
    <row r="6" spans="2:4" x14ac:dyDescent="0.25">
      <c r="B6" t="s">
        <v>23</v>
      </c>
      <c r="C6" t="s">
        <v>11</v>
      </c>
      <c r="D6" t="s">
        <v>24</v>
      </c>
    </row>
    <row r="7" spans="2:4" x14ac:dyDescent="0.25">
      <c r="B7" t="s">
        <v>18</v>
      </c>
      <c r="D7" t="s">
        <v>14</v>
      </c>
    </row>
    <row r="8" spans="2:4" x14ac:dyDescent="0.25">
      <c r="B8" t="s">
        <v>15</v>
      </c>
    </row>
    <row r="9" spans="2:4" x14ac:dyDescent="0.25">
      <c r="B9" t="s">
        <v>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63"/>
  <sheetViews>
    <sheetView tabSelected="1" zoomScaleNormal="100" workbookViewId="0">
      <selection activeCell="K2" sqref="K2"/>
    </sheetView>
  </sheetViews>
  <sheetFormatPr defaultColWidth="8.85546875" defaultRowHeight="15" x14ac:dyDescent="0.25"/>
  <cols>
    <col min="1" max="1" width="14.140625" bestFit="1" customWidth="1"/>
    <col min="2" max="2" width="15.42578125" customWidth="1"/>
    <col min="3" max="4" width="11.28515625" customWidth="1"/>
    <col min="5" max="5" width="16.7109375" bestFit="1" customWidth="1"/>
    <col min="6" max="6" width="11.28515625" customWidth="1"/>
    <col min="7" max="7" width="17.42578125" customWidth="1"/>
    <col min="10" max="10" width="16.7109375" bestFit="1" customWidth="1"/>
    <col min="11" max="11" width="17" bestFit="1" customWidth="1"/>
  </cols>
  <sheetData>
    <row r="1" spans="1:11" x14ac:dyDescent="0.25">
      <c r="A1" s="15" t="s">
        <v>0</v>
      </c>
      <c r="B1" s="16" t="s">
        <v>1</v>
      </c>
      <c r="C1" s="15" t="s">
        <v>2</v>
      </c>
      <c r="D1" s="15" t="s">
        <v>3</v>
      </c>
      <c r="E1" s="15" t="s">
        <v>4</v>
      </c>
      <c r="F1" s="15" t="s">
        <v>5</v>
      </c>
      <c r="G1" s="15" t="s">
        <v>6</v>
      </c>
    </row>
    <row r="2" spans="1:11" x14ac:dyDescent="0.25">
      <c r="A2" s="5">
        <v>8887</v>
      </c>
      <c r="B2" s="6">
        <v>43316</v>
      </c>
      <c r="C2" s="7" t="s">
        <v>22</v>
      </c>
      <c r="D2" s="7" t="s">
        <v>16</v>
      </c>
      <c r="E2" s="7" t="s">
        <v>20</v>
      </c>
      <c r="F2" s="7">
        <v>8989</v>
      </c>
      <c r="G2" s="8">
        <v>787989</v>
      </c>
    </row>
    <row r="3" spans="1:11" x14ac:dyDescent="0.25">
      <c r="A3" s="5">
        <v>989</v>
      </c>
      <c r="B3" s="6">
        <v>40947</v>
      </c>
      <c r="C3" s="7" t="s">
        <v>23</v>
      </c>
      <c r="D3" s="7" t="s">
        <v>25</v>
      </c>
      <c r="E3" s="7" t="s">
        <v>20</v>
      </c>
      <c r="F3" s="7">
        <v>9520</v>
      </c>
      <c r="G3" s="8">
        <v>150000</v>
      </c>
    </row>
    <row r="4" spans="1:11" ht="15" customHeight="1" x14ac:dyDescent="0.25">
      <c r="A4" s="9">
        <v>160</v>
      </c>
      <c r="B4" s="10">
        <v>40382</v>
      </c>
      <c r="C4" s="9" t="s">
        <v>7</v>
      </c>
      <c r="D4" s="9" t="s">
        <v>8</v>
      </c>
      <c r="E4" s="9" t="s">
        <v>9</v>
      </c>
      <c r="F4" s="9">
        <v>4220</v>
      </c>
      <c r="G4" s="11">
        <v>32000</v>
      </c>
      <c r="J4" s="25" t="s">
        <v>26</v>
      </c>
      <c r="K4" s="25"/>
    </row>
    <row r="5" spans="1:11" x14ac:dyDescent="0.25">
      <c r="A5" s="9">
        <v>25</v>
      </c>
      <c r="B5" s="10">
        <v>40552</v>
      </c>
      <c r="C5" s="9" t="s">
        <v>10</v>
      </c>
      <c r="D5" s="9" t="s">
        <v>11</v>
      </c>
      <c r="E5" s="9" t="s">
        <v>12</v>
      </c>
      <c r="F5" s="9">
        <v>3526</v>
      </c>
      <c r="G5" s="11">
        <v>26000</v>
      </c>
      <c r="J5" s="23" t="s">
        <v>0</v>
      </c>
      <c r="K5" s="2" t="s">
        <v>27</v>
      </c>
    </row>
    <row r="6" spans="1:11" x14ac:dyDescent="0.25">
      <c r="A6" s="9">
        <v>131</v>
      </c>
      <c r="B6" s="10">
        <v>40382</v>
      </c>
      <c r="C6" s="9" t="s">
        <v>13</v>
      </c>
      <c r="D6" s="9" t="s">
        <v>11</v>
      </c>
      <c r="E6" s="9" t="s">
        <v>14</v>
      </c>
      <c r="F6" s="9">
        <v>4212</v>
      </c>
      <c r="G6" s="11">
        <v>12000</v>
      </c>
      <c r="J6" s="24" t="s">
        <v>1</v>
      </c>
      <c r="K6" s="3"/>
    </row>
    <row r="7" spans="1:11" x14ac:dyDescent="0.25">
      <c r="A7" s="9">
        <v>111</v>
      </c>
      <c r="B7" s="10">
        <v>40553</v>
      </c>
      <c r="C7" s="9" t="s">
        <v>15</v>
      </c>
      <c r="D7" s="9" t="s">
        <v>16</v>
      </c>
      <c r="E7" s="9" t="s">
        <v>24</v>
      </c>
      <c r="F7" s="9">
        <v>875</v>
      </c>
      <c r="G7" s="11">
        <v>26500</v>
      </c>
      <c r="J7" s="23" t="s">
        <v>2</v>
      </c>
      <c r="K7" s="1"/>
    </row>
    <row r="8" spans="1:11" x14ac:dyDescent="0.25">
      <c r="A8" s="9">
        <v>4</v>
      </c>
      <c r="B8" s="10">
        <v>40390</v>
      </c>
      <c r="C8" s="9" t="s">
        <v>13</v>
      </c>
      <c r="D8" s="9" t="s">
        <v>25</v>
      </c>
      <c r="E8" s="9" t="s">
        <v>17</v>
      </c>
      <c r="F8" s="9">
        <v>9650</v>
      </c>
      <c r="G8" s="11">
        <v>27100</v>
      </c>
      <c r="J8" s="23" t="s">
        <v>3</v>
      </c>
      <c r="K8" s="1"/>
    </row>
    <row r="9" spans="1:11" x14ac:dyDescent="0.25">
      <c r="A9" s="9">
        <v>13</v>
      </c>
      <c r="B9" s="10">
        <v>40605</v>
      </c>
      <c r="C9" s="9" t="s">
        <v>18</v>
      </c>
      <c r="D9" s="9" t="s">
        <v>19</v>
      </c>
      <c r="E9" s="9" t="s">
        <v>20</v>
      </c>
      <c r="F9" s="9">
        <v>250</v>
      </c>
      <c r="G9" s="11">
        <v>18900</v>
      </c>
      <c r="J9" s="23" t="s">
        <v>4</v>
      </c>
      <c r="K9" s="1"/>
    </row>
    <row r="10" spans="1:11" x14ac:dyDescent="0.25">
      <c r="A10" s="9">
        <v>18</v>
      </c>
      <c r="B10" s="10">
        <v>40390</v>
      </c>
      <c r="C10" s="9" t="s">
        <v>15</v>
      </c>
      <c r="D10" s="9" t="s">
        <v>8</v>
      </c>
      <c r="E10" s="9" t="s">
        <v>14</v>
      </c>
      <c r="F10" s="9">
        <v>1932</v>
      </c>
      <c r="G10" s="11">
        <v>24200</v>
      </c>
      <c r="J10" s="23" t="s">
        <v>5</v>
      </c>
      <c r="K10" s="1"/>
    </row>
    <row r="11" spans="1:11" x14ac:dyDescent="0.25">
      <c r="A11" s="9">
        <v>42</v>
      </c>
      <c r="B11" s="10">
        <v>40577</v>
      </c>
      <c r="C11" s="9" t="s">
        <v>21</v>
      </c>
      <c r="D11" s="9" t="s">
        <v>19</v>
      </c>
      <c r="E11" s="9" t="s">
        <v>24</v>
      </c>
      <c r="F11" s="9">
        <v>2020</v>
      </c>
      <c r="G11" s="11">
        <v>17400</v>
      </c>
      <c r="J11" s="23" t="s">
        <v>6</v>
      </c>
      <c r="K11" s="4"/>
    </row>
    <row r="12" spans="1:11" x14ac:dyDescent="0.25">
      <c r="A12" s="9">
        <v>55</v>
      </c>
      <c r="B12" s="10">
        <v>40679</v>
      </c>
      <c r="C12" s="9" t="s">
        <v>10</v>
      </c>
      <c r="D12" s="9" t="s">
        <v>16</v>
      </c>
      <c r="E12" s="9" t="s">
        <v>17</v>
      </c>
      <c r="F12" s="9">
        <v>654</v>
      </c>
      <c r="G12" s="11">
        <v>8500</v>
      </c>
    </row>
    <row r="13" spans="1:11" x14ac:dyDescent="0.25">
      <c r="A13" s="9">
        <v>58</v>
      </c>
      <c r="B13" s="10">
        <v>40502</v>
      </c>
      <c r="C13" s="9" t="s">
        <v>21</v>
      </c>
      <c r="D13" s="9" t="s">
        <v>8</v>
      </c>
      <c r="E13" s="9" t="s">
        <v>9</v>
      </c>
      <c r="F13" s="9">
        <v>748</v>
      </c>
      <c r="G13" s="11">
        <v>14210</v>
      </c>
    </row>
    <row r="14" spans="1:11" x14ac:dyDescent="0.25">
      <c r="A14" s="9">
        <v>61</v>
      </c>
      <c r="B14" s="10">
        <v>40552</v>
      </c>
      <c r="C14" s="9" t="s">
        <v>7</v>
      </c>
      <c r="D14" s="9" t="s">
        <v>8</v>
      </c>
      <c r="E14" s="9" t="s">
        <v>12</v>
      </c>
      <c r="F14" s="9">
        <v>421</v>
      </c>
      <c r="G14" s="11">
        <v>10260</v>
      </c>
    </row>
    <row r="15" spans="1:11" x14ac:dyDescent="0.25">
      <c r="A15" s="9">
        <v>74</v>
      </c>
      <c r="B15" s="10">
        <v>40507</v>
      </c>
      <c r="C15" s="9" t="s">
        <v>21</v>
      </c>
      <c r="D15" s="9" t="s">
        <v>25</v>
      </c>
      <c r="E15" s="9" t="s">
        <v>24</v>
      </c>
      <c r="F15" s="9">
        <v>3333</v>
      </c>
      <c r="G15" s="11">
        <v>11000</v>
      </c>
    </row>
    <row r="16" spans="1:11" x14ac:dyDescent="0.25">
      <c r="A16" s="9">
        <v>128</v>
      </c>
      <c r="B16" s="10">
        <v>40553</v>
      </c>
      <c r="C16" s="9" t="s">
        <v>15</v>
      </c>
      <c r="D16" s="9" t="s">
        <v>11</v>
      </c>
      <c r="E16" s="9" t="s">
        <v>9</v>
      </c>
      <c r="F16" s="9">
        <v>3214</v>
      </c>
      <c r="G16" s="11">
        <v>12000</v>
      </c>
    </row>
    <row r="17" spans="1:12" x14ac:dyDescent="0.25">
      <c r="A17" s="9">
        <v>88</v>
      </c>
      <c r="B17" s="10">
        <v>40514</v>
      </c>
      <c r="C17" s="9" t="s">
        <v>22</v>
      </c>
      <c r="D17" s="9" t="s">
        <v>8</v>
      </c>
      <c r="E17" s="9" t="s">
        <v>20</v>
      </c>
      <c r="F17" s="9">
        <v>2023</v>
      </c>
      <c r="G17" s="11">
        <v>26500</v>
      </c>
    </row>
    <row r="18" spans="1:12" x14ac:dyDescent="0.25">
      <c r="A18" s="9">
        <v>90</v>
      </c>
      <c r="B18" s="10">
        <v>40679</v>
      </c>
      <c r="C18" s="9" t="s">
        <v>15</v>
      </c>
      <c r="D18" s="9" t="s">
        <v>25</v>
      </c>
      <c r="E18" s="9" t="s">
        <v>14</v>
      </c>
      <c r="F18" s="9">
        <v>323</v>
      </c>
      <c r="G18" s="11">
        <v>27100</v>
      </c>
    </row>
    <row r="19" spans="1:12" x14ac:dyDescent="0.25">
      <c r="A19" s="9">
        <v>91</v>
      </c>
      <c r="B19" s="10">
        <v>40514</v>
      </c>
      <c r="C19" s="9" t="s">
        <v>7</v>
      </c>
      <c r="D19" s="9" t="s">
        <v>19</v>
      </c>
      <c r="E19" s="9" t="s">
        <v>9</v>
      </c>
      <c r="F19" s="9">
        <v>4212</v>
      </c>
      <c r="G19" s="11">
        <v>18900</v>
      </c>
    </row>
    <row r="20" spans="1:12" x14ac:dyDescent="0.25">
      <c r="A20" s="9">
        <v>93</v>
      </c>
      <c r="B20" s="10">
        <v>40514</v>
      </c>
      <c r="C20" s="9" t="s">
        <v>13</v>
      </c>
      <c r="D20" s="9" t="s">
        <v>11</v>
      </c>
      <c r="E20" s="9" t="s">
        <v>24</v>
      </c>
      <c r="F20" s="9">
        <v>875</v>
      </c>
      <c r="G20" s="11">
        <v>24200</v>
      </c>
    </row>
    <row r="21" spans="1:12" x14ac:dyDescent="0.25">
      <c r="A21" s="9">
        <v>97</v>
      </c>
      <c r="B21" s="10">
        <v>40679</v>
      </c>
      <c r="C21" s="9" t="s">
        <v>7</v>
      </c>
      <c r="D21" s="9" t="s">
        <v>19</v>
      </c>
      <c r="E21" s="9" t="s">
        <v>17</v>
      </c>
      <c r="F21" s="9">
        <v>9650</v>
      </c>
      <c r="G21" s="11">
        <v>17400</v>
      </c>
      <c r="L21" s="17"/>
    </row>
    <row r="22" spans="1:12" x14ac:dyDescent="0.25">
      <c r="A22" s="9">
        <v>105</v>
      </c>
      <c r="B22" s="10">
        <v>40390</v>
      </c>
      <c r="C22" s="9" t="s">
        <v>21</v>
      </c>
      <c r="D22" s="9" t="s">
        <v>8</v>
      </c>
      <c r="E22" s="9" t="s">
        <v>14</v>
      </c>
      <c r="F22" s="9">
        <v>250</v>
      </c>
      <c r="G22" s="11">
        <v>8500</v>
      </c>
    </row>
    <row r="23" spans="1:12" x14ac:dyDescent="0.25">
      <c r="A23" s="9">
        <v>109</v>
      </c>
      <c r="B23" s="10">
        <v>40514</v>
      </c>
      <c r="C23" s="9" t="s">
        <v>23</v>
      </c>
      <c r="D23" s="9" t="s">
        <v>11</v>
      </c>
      <c r="E23" s="9" t="s">
        <v>24</v>
      </c>
      <c r="F23" s="9">
        <v>1932</v>
      </c>
      <c r="G23" s="11">
        <v>14210</v>
      </c>
    </row>
    <row r="24" spans="1:12" x14ac:dyDescent="0.25">
      <c r="A24" s="9">
        <v>1</v>
      </c>
      <c r="B24" s="10">
        <v>40605</v>
      </c>
      <c r="C24" s="9" t="s">
        <v>13</v>
      </c>
      <c r="D24" s="9" t="s">
        <v>11</v>
      </c>
      <c r="E24" s="9" t="s">
        <v>9</v>
      </c>
      <c r="F24" s="9">
        <v>2020</v>
      </c>
      <c r="G24" s="11">
        <v>10260</v>
      </c>
    </row>
    <row r="25" spans="1:12" x14ac:dyDescent="0.25">
      <c r="A25" s="9">
        <v>112</v>
      </c>
      <c r="B25" s="10">
        <v>40502</v>
      </c>
      <c r="C25" s="9" t="s">
        <v>21</v>
      </c>
      <c r="D25" s="9" t="s">
        <v>19</v>
      </c>
      <c r="E25" s="9" t="s">
        <v>17</v>
      </c>
      <c r="F25" s="9">
        <v>1932</v>
      </c>
      <c r="G25" s="11">
        <v>11000</v>
      </c>
    </row>
    <row r="26" spans="1:12" x14ac:dyDescent="0.25">
      <c r="A26" s="9">
        <v>126</v>
      </c>
      <c r="B26" s="10">
        <v>40502</v>
      </c>
      <c r="C26" s="9" t="s">
        <v>18</v>
      </c>
      <c r="D26" s="9" t="s">
        <v>11</v>
      </c>
      <c r="E26" s="9" t="s">
        <v>12</v>
      </c>
      <c r="F26" s="9">
        <v>2020</v>
      </c>
      <c r="G26" s="11">
        <v>32000</v>
      </c>
    </row>
    <row r="27" spans="1:12" x14ac:dyDescent="0.25">
      <c r="A27" s="9">
        <v>36</v>
      </c>
      <c r="B27" s="10">
        <v>40382</v>
      </c>
      <c r="C27" s="9" t="s">
        <v>13</v>
      </c>
      <c r="D27" s="9" t="s">
        <v>8</v>
      </c>
      <c r="E27" s="9" t="s">
        <v>14</v>
      </c>
      <c r="F27" s="9">
        <v>250</v>
      </c>
      <c r="G27" s="11">
        <v>26000</v>
      </c>
    </row>
    <row r="28" spans="1:12" x14ac:dyDescent="0.25">
      <c r="A28" s="9">
        <v>34</v>
      </c>
      <c r="B28" s="10">
        <v>40507</v>
      </c>
      <c r="C28" s="9" t="s">
        <v>13</v>
      </c>
      <c r="D28" s="9" t="s">
        <v>8</v>
      </c>
      <c r="E28" s="9" t="s">
        <v>24</v>
      </c>
      <c r="F28" s="9">
        <v>1932</v>
      </c>
      <c r="G28" s="11">
        <v>12000</v>
      </c>
    </row>
    <row r="29" spans="1:12" x14ac:dyDescent="0.25">
      <c r="A29" s="9">
        <v>142</v>
      </c>
      <c r="B29" s="10">
        <v>40390</v>
      </c>
      <c r="C29" s="9" t="s">
        <v>15</v>
      </c>
      <c r="D29" s="9" t="s">
        <v>16</v>
      </c>
      <c r="E29" s="9" t="s">
        <v>9</v>
      </c>
      <c r="F29" s="9">
        <v>2020</v>
      </c>
      <c r="G29" s="11">
        <v>26500</v>
      </c>
    </row>
    <row r="30" spans="1:12" x14ac:dyDescent="0.25">
      <c r="A30" s="9">
        <v>156</v>
      </c>
      <c r="B30" s="10">
        <v>40605</v>
      </c>
      <c r="C30" s="9" t="s">
        <v>22</v>
      </c>
      <c r="D30" s="9" t="s">
        <v>19</v>
      </c>
      <c r="E30" s="9" t="s">
        <v>12</v>
      </c>
      <c r="F30" s="9">
        <v>654</v>
      </c>
      <c r="G30" s="11">
        <v>27100</v>
      </c>
    </row>
    <row r="31" spans="1:12" x14ac:dyDescent="0.25">
      <c r="A31" s="9">
        <v>79</v>
      </c>
      <c r="B31" s="10">
        <v>40502</v>
      </c>
      <c r="C31" s="9" t="s">
        <v>18</v>
      </c>
      <c r="D31" s="9" t="s">
        <v>25</v>
      </c>
      <c r="E31" s="9" t="s">
        <v>14</v>
      </c>
      <c r="F31" s="9">
        <v>748</v>
      </c>
      <c r="G31" s="11">
        <v>18900</v>
      </c>
    </row>
    <row r="32" spans="1:12" x14ac:dyDescent="0.25">
      <c r="A32" s="9">
        <v>181</v>
      </c>
      <c r="B32" s="10">
        <v>40528</v>
      </c>
      <c r="C32" s="9" t="s">
        <v>21</v>
      </c>
      <c r="D32" s="9" t="s">
        <v>8</v>
      </c>
      <c r="E32" s="9" t="s">
        <v>12</v>
      </c>
      <c r="F32" s="9">
        <v>421</v>
      </c>
      <c r="G32" s="11">
        <v>24200</v>
      </c>
    </row>
    <row r="33" spans="1:7" x14ac:dyDescent="0.25">
      <c r="A33" s="9">
        <v>201</v>
      </c>
      <c r="B33" s="10">
        <v>40502</v>
      </c>
      <c r="C33" s="9" t="s">
        <v>18</v>
      </c>
      <c r="D33" s="9" t="s">
        <v>19</v>
      </c>
      <c r="E33" s="9" t="s">
        <v>24</v>
      </c>
      <c r="F33" s="9">
        <v>3333</v>
      </c>
      <c r="G33" s="11">
        <v>27400</v>
      </c>
    </row>
    <row r="34" spans="1:7" x14ac:dyDescent="0.25">
      <c r="A34" s="9">
        <v>160</v>
      </c>
      <c r="B34" s="10">
        <v>40382</v>
      </c>
      <c r="C34" s="9" t="s">
        <v>7</v>
      </c>
      <c r="D34" s="9" t="s">
        <v>8</v>
      </c>
      <c r="E34" s="9" t="s">
        <v>9</v>
      </c>
      <c r="F34" s="9">
        <v>3214</v>
      </c>
      <c r="G34" s="11">
        <v>32000</v>
      </c>
    </row>
    <row r="35" spans="1:7" x14ac:dyDescent="0.25">
      <c r="A35" s="9">
        <v>25</v>
      </c>
      <c r="B35" s="10">
        <v>40552</v>
      </c>
      <c r="C35" s="9" t="s">
        <v>10</v>
      </c>
      <c r="D35" s="9" t="s">
        <v>11</v>
      </c>
      <c r="E35" s="9" t="s">
        <v>12</v>
      </c>
      <c r="F35" s="9">
        <v>2023</v>
      </c>
      <c r="G35" s="11">
        <v>10260</v>
      </c>
    </row>
    <row r="36" spans="1:7" x14ac:dyDescent="0.25">
      <c r="A36" s="9">
        <v>131</v>
      </c>
      <c r="B36" s="10">
        <v>40382</v>
      </c>
      <c r="C36" s="9" t="s">
        <v>13</v>
      </c>
      <c r="D36" s="9" t="s">
        <v>11</v>
      </c>
      <c r="E36" s="9" t="s">
        <v>14</v>
      </c>
      <c r="F36" s="9">
        <v>4212</v>
      </c>
      <c r="G36" s="11">
        <v>11000</v>
      </c>
    </row>
    <row r="37" spans="1:7" x14ac:dyDescent="0.25">
      <c r="A37" s="9">
        <v>111</v>
      </c>
      <c r="B37" s="10">
        <v>40553</v>
      </c>
      <c r="C37" s="9" t="s">
        <v>15</v>
      </c>
      <c r="D37" s="9" t="s">
        <v>16</v>
      </c>
      <c r="E37" s="9" t="s">
        <v>24</v>
      </c>
      <c r="F37" s="9">
        <v>875</v>
      </c>
      <c r="G37" s="11">
        <v>12000</v>
      </c>
    </row>
    <row r="38" spans="1:7" x14ac:dyDescent="0.25">
      <c r="A38" s="9">
        <v>4</v>
      </c>
      <c r="B38" s="10">
        <v>40390</v>
      </c>
      <c r="C38" s="9" t="s">
        <v>13</v>
      </c>
      <c r="D38" s="9" t="s">
        <v>25</v>
      </c>
      <c r="E38" s="9" t="s">
        <v>17</v>
      </c>
      <c r="F38" s="9">
        <v>9650</v>
      </c>
      <c r="G38" s="11">
        <v>26500</v>
      </c>
    </row>
    <row r="39" spans="1:7" x14ac:dyDescent="0.25">
      <c r="A39" s="9">
        <v>13</v>
      </c>
      <c r="B39" s="10">
        <v>40605</v>
      </c>
      <c r="C39" s="9" t="s">
        <v>18</v>
      </c>
      <c r="D39" s="9" t="s">
        <v>19</v>
      </c>
      <c r="E39" s="9" t="s">
        <v>20</v>
      </c>
      <c r="F39" s="9">
        <v>250</v>
      </c>
      <c r="G39" s="11">
        <v>27100</v>
      </c>
    </row>
    <row r="40" spans="1:7" x14ac:dyDescent="0.25">
      <c r="A40" s="9">
        <v>18</v>
      </c>
      <c r="B40" s="10">
        <v>40390</v>
      </c>
      <c r="C40" s="9" t="s">
        <v>15</v>
      </c>
      <c r="D40" s="9" t="s">
        <v>8</v>
      </c>
      <c r="E40" s="9" t="s">
        <v>14</v>
      </c>
      <c r="F40" s="9">
        <v>1932</v>
      </c>
      <c r="G40" s="11">
        <v>18900</v>
      </c>
    </row>
    <row r="41" spans="1:7" x14ac:dyDescent="0.25">
      <c r="A41" s="9">
        <v>42</v>
      </c>
      <c r="B41" s="10">
        <v>40577</v>
      </c>
      <c r="C41" s="9" t="s">
        <v>21</v>
      </c>
      <c r="D41" s="9" t="s">
        <v>19</v>
      </c>
      <c r="E41" s="9" t="s">
        <v>24</v>
      </c>
      <c r="F41" s="9">
        <v>2020</v>
      </c>
      <c r="G41" s="11">
        <v>24200</v>
      </c>
    </row>
    <row r="42" spans="1:7" x14ac:dyDescent="0.25">
      <c r="A42" s="9">
        <v>55</v>
      </c>
      <c r="B42" s="10">
        <v>40679</v>
      </c>
      <c r="C42" s="9" t="s">
        <v>10</v>
      </c>
      <c r="D42" s="9" t="s">
        <v>16</v>
      </c>
      <c r="E42" s="9" t="s">
        <v>17</v>
      </c>
      <c r="F42" s="9">
        <v>654</v>
      </c>
      <c r="G42" s="11">
        <v>17400</v>
      </c>
    </row>
    <row r="43" spans="1:7" x14ac:dyDescent="0.25">
      <c r="A43" s="9">
        <v>58</v>
      </c>
      <c r="B43" s="10">
        <v>40502</v>
      </c>
      <c r="C43" s="9" t="s">
        <v>21</v>
      </c>
      <c r="D43" s="9" t="s">
        <v>8</v>
      </c>
      <c r="E43" s="9" t="s">
        <v>9</v>
      </c>
      <c r="F43" s="9">
        <v>748</v>
      </c>
      <c r="G43" s="11">
        <v>14210</v>
      </c>
    </row>
    <row r="44" spans="1:7" x14ac:dyDescent="0.25">
      <c r="A44" s="9">
        <v>61</v>
      </c>
      <c r="B44" s="10">
        <v>40552</v>
      </c>
      <c r="C44" s="9" t="s">
        <v>7</v>
      </c>
      <c r="D44" s="9" t="s">
        <v>8</v>
      </c>
      <c r="E44" s="9" t="s">
        <v>12</v>
      </c>
      <c r="F44" s="9">
        <v>421</v>
      </c>
      <c r="G44" s="11">
        <v>10260</v>
      </c>
    </row>
    <row r="45" spans="1:7" x14ac:dyDescent="0.25">
      <c r="A45" s="9">
        <v>74</v>
      </c>
      <c r="B45" s="10">
        <v>40507</v>
      </c>
      <c r="C45" s="9" t="s">
        <v>21</v>
      </c>
      <c r="D45" s="9" t="s">
        <v>25</v>
      </c>
      <c r="E45" s="9" t="s">
        <v>24</v>
      </c>
      <c r="F45" s="9">
        <v>3333</v>
      </c>
      <c r="G45" s="11">
        <v>10260</v>
      </c>
    </row>
    <row r="46" spans="1:7" x14ac:dyDescent="0.25">
      <c r="A46" s="9">
        <v>128</v>
      </c>
      <c r="B46" s="10">
        <v>40553</v>
      </c>
      <c r="C46" s="9" t="s">
        <v>15</v>
      </c>
      <c r="D46" s="9" t="s">
        <v>11</v>
      </c>
      <c r="E46" s="9" t="s">
        <v>9</v>
      </c>
      <c r="F46" s="9">
        <v>250</v>
      </c>
      <c r="G46" s="11">
        <v>11000</v>
      </c>
    </row>
    <row r="47" spans="1:7" x14ac:dyDescent="0.25">
      <c r="A47" s="9">
        <v>88</v>
      </c>
      <c r="B47" s="10">
        <v>40514</v>
      </c>
      <c r="C47" s="9" t="s">
        <v>22</v>
      </c>
      <c r="D47" s="9" t="s">
        <v>8</v>
      </c>
      <c r="E47" s="9" t="s">
        <v>20</v>
      </c>
      <c r="F47" s="9">
        <v>1932</v>
      </c>
      <c r="G47" s="11">
        <v>12000</v>
      </c>
    </row>
    <row r="48" spans="1:7" x14ac:dyDescent="0.25">
      <c r="A48" s="9">
        <v>90</v>
      </c>
      <c r="B48" s="10">
        <v>40679</v>
      </c>
      <c r="C48" s="9" t="s">
        <v>15</v>
      </c>
      <c r="D48" s="9" t="s">
        <v>25</v>
      </c>
      <c r="E48" s="9" t="s">
        <v>14</v>
      </c>
      <c r="F48" s="9">
        <v>2020</v>
      </c>
      <c r="G48" s="11">
        <v>26500</v>
      </c>
    </row>
    <row r="49" spans="1:7" x14ac:dyDescent="0.25">
      <c r="A49" s="9">
        <v>91</v>
      </c>
      <c r="B49" s="10">
        <v>40514</v>
      </c>
      <c r="C49" s="9" t="s">
        <v>7</v>
      </c>
      <c r="D49" s="9" t="s">
        <v>19</v>
      </c>
      <c r="E49" s="9" t="s">
        <v>9</v>
      </c>
      <c r="F49" s="9">
        <v>654</v>
      </c>
      <c r="G49" s="11">
        <v>27100</v>
      </c>
    </row>
    <row r="50" spans="1:7" x14ac:dyDescent="0.25">
      <c r="A50" s="9">
        <v>93</v>
      </c>
      <c r="B50" s="10">
        <v>40514</v>
      </c>
      <c r="C50" s="9" t="s">
        <v>13</v>
      </c>
      <c r="D50" s="9" t="s">
        <v>11</v>
      </c>
      <c r="E50" s="9" t="s">
        <v>24</v>
      </c>
      <c r="F50" s="9">
        <v>748</v>
      </c>
      <c r="G50" s="11">
        <v>18900</v>
      </c>
    </row>
    <row r="51" spans="1:7" x14ac:dyDescent="0.25">
      <c r="A51" s="9">
        <v>97</v>
      </c>
      <c r="B51" s="10">
        <v>40679</v>
      </c>
      <c r="C51" s="9" t="s">
        <v>7</v>
      </c>
      <c r="D51" s="9" t="s">
        <v>19</v>
      </c>
      <c r="E51" s="9" t="s">
        <v>17</v>
      </c>
      <c r="F51" s="9">
        <v>421</v>
      </c>
      <c r="G51" s="11">
        <v>24200</v>
      </c>
    </row>
    <row r="52" spans="1:7" x14ac:dyDescent="0.25">
      <c r="A52" s="9">
        <v>105</v>
      </c>
      <c r="B52" s="10">
        <v>40390</v>
      </c>
      <c r="C52" s="9" t="s">
        <v>21</v>
      </c>
      <c r="D52" s="9" t="s">
        <v>8</v>
      </c>
      <c r="E52" s="9" t="s">
        <v>14</v>
      </c>
      <c r="F52" s="9">
        <v>3333</v>
      </c>
      <c r="G52" s="11">
        <v>17400</v>
      </c>
    </row>
    <row r="53" spans="1:7" x14ac:dyDescent="0.25">
      <c r="A53" s="9">
        <v>109</v>
      </c>
      <c r="B53" s="10">
        <v>40514</v>
      </c>
      <c r="C53" s="9" t="s">
        <v>23</v>
      </c>
      <c r="D53" s="9" t="s">
        <v>11</v>
      </c>
      <c r="E53" s="9" t="s">
        <v>24</v>
      </c>
      <c r="F53" s="9">
        <v>3214</v>
      </c>
      <c r="G53" s="11">
        <v>14210</v>
      </c>
    </row>
    <row r="54" spans="1:7" x14ac:dyDescent="0.25">
      <c r="A54" s="9">
        <v>1</v>
      </c>
      <c r="B54" s="10">
        <v>40605</v>
      </c>
      <c r="C54" s="9" t="s">
        <v>13</v>
      </c>
      <c r="D54" s="9" t="s">
        <v>11</v>
      </c>
      <c r="E54" s="9" t="s">
        <v>9</v>
      </c>
      <c r="F54" s="9">
        <v>2023</v>
      </c>
      <c r="G54" s="11">
        <v>10260</v>
      </c>
    </row>
    <row r="55" spans="1:7" x14ac:dyDescent="0.25">
      <c r="A55" s="9">
        <v>112</v>
      </c>
      <c r="B55" s="10">
        <v>40502</v>
      </c>
      <c r="C55" s="9" t="s">
        <v>21</v>
      </c>
      <c r="D55" s="9" t="s">
        <v>19</v>
      </c>
      <c r="E55" s="9" t="s">
        <v>17</v>
      </c>
      <c r="F55" s="9">
        <v>1932</v>
      </c>
      <c r="G55" s="11">
        <v>11000</v>
      </c>
    </row>
    <row r="56" spans="1:7" x14ac:dyDescent="0.25">
      <c r="A56" s="9">
        <v>126</v>
      </c>
      <c r="B56" s="10">
        <v>40502</v>
      </c>
      <c r="C56" s="9" t="s">
        <v>18</v>
      </c>
      <c r="D56" s="9" t="s">
        <v>11</v>
      </c>
      <c r="E56" s="9" t="s">
        <v>12</v>
      </c>
      <c r="F56" s="9">
        <v>2020</v>
      </c>
      <c r="G56" s="11">
        <v>32000</v>
      </c>
    </row>
    <row r="57" spans="1:7" x14ac:dyDescent="0.25">
      <c r="A57" s="9">
        <v>36</v>
      </c>
      <c r="B57" s="10">
        <v>40382</v>
      </c>
      <c r="C57" s="9" t="s">
        <v>13</v>
      </c>
      <c r="D57" s="9" t="s">
        <v>8</v>
      </c>
      <c r="E57" s="9" t="s">
        <v>14</v>
      </c>
      <c r="F57" s="9">
        <v>654</v>
      </c>
      <c r="G57" s="11">
        <v>26000</v>
      </c>
    </row>
    <row r="58" spans="1:7" x14ac:dyDescent="0.25">
      <c r="A58" s="9">
        <v>34</v>
      </c>
      <c r="B58" s="10">
        <v>40507</v>
      </c>
      <c r="C58" s="9" t="s">
        <v>13</v>
      </c>
      <c r="D58" s="9" t="s">
        <v>8</v>
      </c>
      <c r="E58" s="9" t="s">
        <v>24</v>
      </c>
      <c r="F58" s="9">
        <v>748</v>
      </c>
      <c r="G58" s="11">
        <v>12000</v>
      </c>
    </row>
    <row r="59" spans="1:7" x14ac:dyDescent="0.25">
      <c r="A59" s="9">
        <v>142</v>
      </c>
      <c r="B59" s="10">
        <v>40390</v>
      </c>
      <c r="C59" s="9" t="s">
        <v>15</v>
      </c>
      <c r="D59" s="9" t="s">
        <v>16</v>
      </c>
      <c r="E59" s="9" t="s">
        <v>9</v>
      </c>
      <c r="F59" s="9">
        <v>421</v>
      </c>
      <c r="G59" s="11">
        <v>26500</v>
      </c>
    </row>
    <row r="60" spans="1:7" x14ac:dyDescent="0.25">
      <c r="A60" s="9">
        <v>156</v>
      </c>
      <c r="B60" s="10">
        <v>40605</v>
      </c>
      <c r="C60" s="9" t="s">
        <v>22</v>
      </c>
      <c r="D60" s="9" t="s">
        <v>19</v>
      </c>
      <c r="E60" s="9" t="s">
        <v>12</v>
      </c>
      <c r="F60" s="9">
        <v>4524</v>
      </c>
      <c r="G60" s="11">
        <v>27100</v>
      </c>
    </row>
    <row r="61" spans="1:7" x14ac:dyDescent="0.25">
      <c r="A61" s="9">
        <v>79</v>
      </c>
      <c r="B61" s="10">
        <v>40502</v>
      </c>
      <c r="C61" s="9" t="s">
        <v>18</v>
      </c>
      <c r="D61" s="9" t="s">
        <v>25</v>
      </c>
      <c r="E61" s="9" t="s">
        <v>14</v>
      </c>
      <c r="F61" s="9">
        <v>3210</v>
      </c>
      <c r="G61" s="11">
        <v>18900</v>
      </c>
    </row>
    <row r="62" spans="1:7" x14ac:dyDescent="0.25">
      <c r="A62" s="9">
        <v>181</v>
      </c>
      <c r="B62" s="10">
        <v>40528</v>
      </c>
      <c r="C62" s="9" t="s">
        <v>21</v>
      </c>
      <c r="D62" s="9" t="s">
        <v>8</v>
      </c>
      <c r="E62" s="9" t="s">
        <v>12</v>
      </c>
      <c r="F62" s="9">
        <v>1110</v>
      </c>
      <c r="G62" s="11">
        <v>24200</v>
      </c>
    </row>
    <row r="63" spans="1:7" x14ac:dyDescent="0.25">
      <c r="A63" s="9">
        <v>201</v>
      </c>
      <c r="B63" s="10">
        <v>40502</v>
      </c>
      <c r="C63" s="9" t="s">
        <v>18</v>
      </c>
      <c r="D63" s="9" t="s">
        <v>19</v>
      </c>
      <c r="E63" s="9" t="s">
        <v>24</v>
      </c>
      <c r="F63" s="9">
        <v>725</v>
      </c>
      <c r="G63" s="11">
        <v>27400</v>
      </c>
    </row>
  </sheetData>
  <mergeCells count="1">
    <mergeCell ref="J4:K4"/>
  </mergeCells>
  <pageMargins left="0.7" right="0.7" top="0.75" bottom="0.75" header="0.3" footer="0.3"/>
  <pageSetup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'Data Validation'!$B$2:$B$9</xm:f>
          </x14:formula1>
          <xm:sqref>K7 C63 C2:C3</xm:sqref>
        </x14:dataValidation>
        <x14:dataValidation type="list" allowBlank="1" showInputMessage="1" showErrorMessage="1">
          <x14:formula1>
            <xm:f>'Data Validation'!$C$2:$C$6</xm:f>
          </x14:formula1>
          <xm:sqref>K8 D63 D2:D3</xm:sqref>
        </x14:dataValidation>
        <x14:dataValidation type="list" allowBlank="1" showInputMessage="1" showErrorMessage="1">
          <x14:formula1>
            <xm:f>'Data Validation'!$D$2:$D$7</xm:f>
          </x14:formula1>
          <xm:sqref>K9 E2:E3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B10"/>
  <sheetViews>
    <sheetView workbookViewId="0">
      <selection activeCell="B6" sqref="B6"/>
    </sheetView>
  </sheetViews>
  <sheetFormatPr defaultColWidth="8.85546875" defaultRowHeight="15" x14ac:dyDescent="0.25"/>
  <cols>
    <col min="1" max="1" width="13.140625" customWidth="1"/>
    <col min="2" max="2" width="17" bestFit="1" customWidth="1"/>
    <col min="3" max="3" width="9.28515625" bestFit="1" customWidth="1"/>
    <col min="4" max="4" width="5.42578125" customWidth="1"/>
    <col min="5" max="5" width="7" customWidth="1"/>
    <col min="6" max="8" width="6" customWidth="1"/>
    <col min="9" max="9" width="9.7109375" bestFit="1" customWidth="1"/>
    <col min="10" max="10" width="11.85546875" bestFit="1" customWidth="1"/>
  </cols>
  <sheetData>
    <row r="1" spans="1:2" x14ac:dyDescent="0.25">
      <c r="A1" s="19" t="s">
        <v>29</v>
      </c>
      <c r="B1" s="19" t="s">
        <v>28</v>
      </c>
    </row>
    <row r="2" spans="1:2" x14ac:dyDescent="0.25">
      <c r="A2" s="13" t="s">
        <v>21</v>
      </c>
      <c r="B2" s="12">
        <v>21180</v>
      </c>
    </row>
    <row r="3" spans="1:2" x14ac:dyDescent="0.25">
      <c r="A3" s="13" t="s">
        <v>22</v>
      </c>
      <c r="B3" s="12">
        <v>18122</v>
      </c>
    </row>
    <row r="4" spans="1:2" x14ac:dyDescent="0.25">
      <c r="A4" s="13" t="s">
        <v>10</v>
      </c>
      <c r="B4" s="12">
        <v>6857</v>
      </c>
    </row>
    <row r="5" spans="1:2" x14ac:dyDescent="0.25">
      <c r="A5" s="13" t="s">
        <v>13</v>
      </c>
      <c r="B5" s="12">
        <v>36974</v>
      </c>
    </row>
    <row r="6" spans="1:2" x14ac:dyDescent="0.25">
      <c r="A6" s="13" t="s">
        <v>23</v>
      </c>
      <c r="B6" s="12">
        <v>14666</v>
      </c>
    </row>
    <row r="7" spans="1:2" x14ac:dyDescent="0.25">
      <c r="A7" s="13" t="s">
        <v>18</v>
      </c>
      <c r="B7" s="12">
        <v>12556</v>
      </c>
    </row>
    <row r="8" spans="1:2" x14ac:dyDescent="0.25">
      <c r="A8" s="13" t="s">
        <v>15</v>
      </c>
      <c r="B8" s="12">
        <v>13862</v>
      </c>
    </row>
    <row r="9" spans="1:2" x14ac:dyDescent="0.25">
      <c r="A9" s="13" t="s">
        <v>7</v>
      </c>
      <c r="B9" s="12">
        <v>23213</v>
      </c>
    </row>
    <row r="10" spans="1:2" x14ac:dyDescent="0.25">
      <c r="A10" s="20" t="s">
        <v>30</v>
      </c>
      <c r="B10" s="21">
        <v>147430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B15"/>
  <sheetViews>
    <sheetView workbookViewId="0">
      <selection activeCell="D11" sqref="D11"/>
    </sheetView>
  </sheetViews>
  <sheetFormatPr defaultColWidth="8.85546875" defaultRowHeight="15" x14ac:dyDescent="0.25"/>
  <cols>
    <col min="1" max="1" width="13.140625" bestFit="1" customWidth="1"/>
    <col min="2" max="2" width="17" bestFit="1" customWidth="1"/>
  </cols>
  <sheetData>
    <row r="1" spans="1:2" x14ac:dyDescent="0.25">
      <c r="A1" s="19" t="s">
        <v>29</v>
      </c>
      <c r="B1" s="19" t="s">
        <v>28</v>
      </c>
    </row>
    <row r="2" spans="1:2" x14ac:dyDescent="0.25">
      <c r="A2" s="14">
        <v>40382</v>
      </c>
      <c r="B2" s="12">
        <v>16762</v>
      </c>
    </row>
    <row r="3" spans="1:2" x14ac:dyDescent="0.25">
      <c r="A3" s="14">
        <v>40390</v>
      </c>
      <c r="B3" s="12">
        <v>29188</v>
      </c>
    </row>
    <row r="4" spans="1:2" x14ac:dyDescent="0.25">
      <c r="A4" s="14">
        <v>40502</v>
      </c>
      <c r="B4" s="12">
        <v>17416</v>
      </c>
    </row>
    <row r="5" spans="1:2" x14ac:dyDescent="0.25">
      <c r="A5" s="14">
        <v>40507</v>
      </c>
      <c r="B5" s="12">
        <v>9346</v>
      </c>
    </row>
    <row r="6" spans="1:2" x14ac:dyDescent="0.25">
      <c r="A6" s="14">
        <v>40514</v>
      </c>
      <c r="B6" s="12">
        <v>15590</v>
      </c>
    </row>
    <row r="7" spans="1:2" x14ac:dyDescent="0.25">
      <c r="A7" s="14">
        <v>40528</v>
      </c>
      <c r="B7" s="12">
        <v>1531</v>
      </c>
    </row>
    <row r="8" spans="1:2" x14ac:dyDescent="0.25">
      <c r="A8" s="14">
        <v>40552</v>
      </c>
      <c r="B8" s="12">
        <v>6391</v>
      </c>
    </row>
    <row r="9" spans="1:2" x14ac:dyDescent="0.25">
      <c r="A9" s="14">
        <v>40553</v>
      </c>
      <c r="B9" s="12">
        <v>5214</v>
      </c>
    </row>
    <row r="10" spans="1:2" x14ac:dyDescent="0.25">
      <c r="A10" s="14">
        <v>40577</v>
      </c>
      <c r="B10" s="12">
        <v>4040</v>
      </c>
    </row>
    <row r="11" spans="1:2" x14ac:dyDescent="0.25">
      <c r="A11" s="14">
        <v>40605</v>
      </c>
      <c r="B11" s="12">
        <v>9721</v>
      </c>
    </row>
    <row r="12" spans="1:2" x14ac:dyDescent="0.25">
      <c r="A12" s="14">
        <v>40679</v>
      </c>
      <c r="B12" s="12">
        <v>13722</v>
      </c>
    </row>
    <row r="13" spans="1:2" x14ac:dyDescent="0.25">
      <c r="A13" s="14">
        <v>43316</v>
      </c>
      <c r="B13" s="12">
        <v>8989</v>
      </c>
    </row>
    <row r="14" spans="1:2" x14ac:dyDescent="0.25">
      <c r="A14" s="14">
        <v>150519</v>
      </c>
      <c r="B14" s="12">
        <v>9520</v>
      </c>
    </row>
    <row r="15" spans="1:2" x14ac:dyDescent="0.25">
      <c r="A15" s="22" t="s">
        <v>30</v>
      </c>
      <c r="B15" s="21">
        <v>147430</v>
      </c>
    </row>
  </sheetData>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249977111117893"/>
  </sheetPr>
  <dimension ref="A1:B8"/>
  <sheetViews>
    <sheetView zoomScale="92" zoomScaleNormal="92" workbookViewId="0">
      <selection activeCell="K34" sqref="K34"/>
    </sheetView>
  </sheetViews>
  <sheetFormatPr defaultColWidth="8.85546875" defaultRowHeight="15" x14ac:dyDescent="0.25"/>
  <cols>
    <col min="1" max="1" width="13.140625" customWidth="1"/>
    <col min="2" max="2" width="17" bestFit="1" customWidth="1"/>
  </cols>
  <sheetData>
    <row r="1" spans="1:2" x14ac:dyDescent="0.25">
      <c r="A1" s="19" t="s">
        <v>29</v>
      </c>
      <c r="B1" s="19" t="s">
        <v>28</v>
      </c>
    </row>
    <row r="2" spans="1:2" x14ac:dyDescent="0.25">
      <c r="A2" s="13" t="s">
        <v>17</v>
      </c>
      <c r="B2" s="12">
        <v>34543</v>
      </c>
    </row>
    <row r="3" spans="1:2" x14ac:dyDescent="0.25">
      <c r="A3" s="13" t="s">
        <v>9</v>
      </c>
      <c r="B3" s="12">
        <v>23744</v>
      </c>
    </row>
    <row r="4" spans="1:2" x14ac:dyDescent="0.25">
      <c r="A4" s="13" t="s">
        <v>20</v>
      </c>
      <c r="B4" s="12">
        <v>22964</v>
      </c>
    </row>
    <row r="5" spans="1:2" x14ac:dyDescent="0.25">
      <c r="A5" s="13" t="s">
        <v>12</v>
      </c>
      <c r="B5" s="12">
        <v>17140</v>
      </c>
    </row>
    <row r="6" spans="1:2" x14ac:dyDescent="0.25">
      <c r="A6" s="13" t="s">
        <v>24</v>
      </c>
      <c r="B6" s="12">
        <v>25963</v>
      </c>
    </row>
    <row r="7" spans="1:2" x14ac:dyDescent="0.25">
      <c r="A7" s="13" t="s">
        <v>14</v>
      </c>
      <c r="B7" s="12">
        <v>23076</v>
      </c>
    </row>
    <row r="8" spans="1:2" x14ac:dyDescent="0.25">
      <c r="A8" s="20" t="s">
        <v>30</v>
      </c>
      <c r="B8" s="21">
        <v>147430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 Validation</vt:lpstr>
      <vt:lpstr>Rango de Datos</vt:lpstr>
      <vt:lpstr>PT1</vt:lpstr>
      <vt:lpstr>PT2</vt:lpstr>
      <vt:lpstr>PT3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CALAB-A01</dc:creator>
  <cp:lastModifiedBy>CALAB-A04</cp:lastModifiedBy>
  <dcterms:created xsi:type="dcterms:W3CDTF">2019-09-27T13:42:04Z</dcterms:created>
  <dcterms:modified xsi:type="dcterms:W3CDTF">2020-02-13T17:58:02Z</dcterms:modified>
</cp:coreProperties>
</file>